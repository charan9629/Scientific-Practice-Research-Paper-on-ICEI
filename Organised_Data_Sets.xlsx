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A:\CIT\ThirdYear\Scientific Practice\Assignment\Assignment -5\Assignment_5\"/>
    </mc:Choice>
  </mc:AlternateContent>
  <xr:revisionPtr revIDLastSave="0" documentId="13_ncr:1_{6ED1D525-95C7-460A-9BA6-6CECC0905C46}" xr6:coauthVersionLast="47" xr6:coauthVersionMax="47" xr10:uidLastSave="{00000000-0000-0000-0000-000000000000}"/>
  <bookViews>
    <workbookView xWindow="38280" yWindow="-120" windowWidth="15600" windowHeight="11040" activeTab="1" xr2:uid="{00000000-000D-0000-FFFF-FFFF00000000}"/>
  </bookViews>
  <sheets>
    <sheet name="total_consolidated_data" sheetId="1" r:id="rId1"/>
    <sheet name="statistical_evaluation " sheetId="2" r:id="rId2"/>
  </sheets>
  <definedNames>
    <definedName name="_xlnm._FilterDatabase" localSheetId="0" hidden="1">total_consolidated_data!$A$1:$K$253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2" l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23" i="2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E2" i="2"/>
  <c r="D2" i="2"/>
  <c r="F2" i="2"/>
  <c r="E3" i="2"/>
  <c r="D23" i="2" s="1"/>
  <c r="J18" i="2"/>
  <c r="F17" i="2"/>
  <c r="J17" i="2"/>
  <c r="J16" i="2"/>
  <c r="J15" i="2"/>
  <c r="J14" i="2"/>
  <c r="J13" i="2"/>
  <c r="J12" i="2"/>
  <c r="J11" i="2"/>
  <c r="J10" i="2"/>
  <c r="E53" i="2" s="1"/>
  <c r="J9" i="2"/>
  <c r="J8" i="2"/>
  <c r="J7" i="2"/>
  <c r="J6" i="2"/>
  <c r="J5" i="2"/>
  <c r="J4" i="2"/>
  <c r="J3" i="2"/>
  <c r="J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17" i="2"/>
  <c r="G37" i="2" s="1"/>
  <c r="G17" i="2"/>
  <c r="E17" i="2"/>
  <c r="D17" i="2"/>
  <c r="H16" i="2"/>
  <c r="G36" i="2" s="1"/>
  <c r="H36" i="2" s="1"/>
  <c r="G16" i="2"/>
  <c r="F36" i="2" s="1"/>
  <c r="F16" i="2"/>
  <c r="E36" i="2" s="1"/>
  <c r="E16" i="2"/>
  <c r="D36" i="2" s="1"/>
  <c r="D16" i="2"/>
  <c r="H15" i="2"/>
  <c r="G15" i="2"/>
  <c r="F15" i="2"/>
  <c r="E15" i="2"/>
  <c r="D15" i="2"/>
  <c r="H14" i="2"/>
  <c r="G34" i="2" s="1"/>
  <c r="G14" i="2"/>
  <c r="F14" i="2"/>
  <c r="E14" i="2"/>
  <c r="D14" i="2"/>
  <c r="H13" i="2"/>
  <c r="G33" i="2" s="1"/>
  <c r="G13" i="2"/>
  <c r="F13" i="2"/>
  <c r="E13" i="2"/>
  <c r="D13" i="2"/>
  <c r="H12" i="2"/>
  <c r="G12" i="2"/>
  <c r="F12" i="2"/>
  <c r="D11" i="2"/>
  <c r="E12" i="2"/>
  <c r="D12" i="2"/>
  <c r="H11" i="2"/>
  <c r="G31" i="2" s="1"/>
  <c r="H31" i="2" s="1"/>
  <c r="G11" i="2"/>
  <c r="F31" i="2" s="1"/>
  <c r="F11" i="2"/>
  <c r="E31" i="2" s="1"/>
  <c r="E11" i="2"/>
  <c r="D31" i="2" s="1"/>
  <c r="H2" i="2"/>
  <c r="G2" i="2"/>
  <c r="H10" i="2"/>
  <c r="G30" i="2" s="1"/>
  <c r="H30" i="2" s="1"/>
  <c r="G10" i="2"/>
  <c r="F30" i="2" s="1"/>
  <c r="F10" i="2"/>
  <c r="E30" i="2" s="1"/>
  <c r="E10" i="2"/>
  <c r="D30" i="2" s="1"/>
  <c r="D10" i="2"/>
  <c r="H9" i="2"/>
  <c r="G9" i="2"/>
  <c r="F9" i="2"/>
  <c r="E9" i="2"/>
  <c r="D9" i="2"/>
  <c r="H8" i="2"/>
  <c r="G8" i="2"/>
  <c r="F8" i="2"/>
  <c r="E8" i="2"/>
  <c r="D8" i="2"/>
  <c r="H7" i="2"/>
  <c r="G7" i="2"/>
  <c r="F7" i="2"/>
  <c r="E7" i="2"/>
  <c r="D7" i="2"/>
  <c r="H6" i="2"/>
  <c r="G6" i="2"/>
  <c r="F6" i="2"/>
  <c r="E6" i="2"/>
  <c r="D6" i="2"/>
  <c r="H5" i="2"/>
  <c r="G5" i="2"/>
  <c r="F5" i="2"/>
  <c r="E5" i="2"/>
  <c r="D5" i="2"/>
  <c r="D4" i="2"/>
  <c r="H4" i="2"/>
  <c r="G24" i="2" s="1"/>
  <c r="H24" i="2" s="1"/>
  <c r="G4" i="2"/>
  <c r="F24" i="2" s="1"/>
  <c r="F4" i="2"/>
  <c r="E24" i="2" s="1"/>
  <c r="E4" i="2"/>
  <c r="D24" i="2" s="1"/>
  <c r="H3" i="2"/>
  <c r="G23" i="2" s="1"/>
  <c r="H23" i="2" s="1"/>
  <c r="G3" i="2"/>
  <c r="F3" i="2"/>
  <c r="D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D26" i="2" l="1"/>
  <c r="D27" i="2"/>
  <c r="D33" i="2"/>
  <c r="E55" i="2"/>
  <c r="F27" i="2"/>
  <c r="F33" i="2"/>
  <c r="E58" i="2"/>
  <c r="D28" i="2"/>
  <c r="E59" i="2"/>
  <c r="D25" i="2"/>
  <c r="E28" i="2"/>
  <c r="E34" i="2"/>
  <c r="E45" i="2"/>
  <c r="F25" i="2"/>
  <c r="G56" i="2" s="1"/>
  <c r="E47" i="2"/>
  <c r="D29" i="2"/>
  <c r="D32" i="2"/>
  <c r="D35" i="2"/>
  <c r="E48" i="2"/>
  <c r="E22" i="2"/>
  <c r="E27" i="2"/>
  <c r="H33" i="2"/>
  <c r="D37" i="2"/>
  <c r="E46" i="2"/>
  <c r="E57" i="2"/>
  <c r="D34" i="2"/>
  <c r="D57" i="2" s="1"/>
  <c r="F37" i="2"/>
  <c r="H37" i="2"/>
  <c r="E50" i="2"/>
  <c r="D22" i="2"/>
  <c r="E54" i="2"/>
  <c r="E33" i="2"/>
  <c r="E56" i="2"/>
  <c r="G27" i="2"/>
  <c r="H27" i="2" s="1"/>
  <c r="E60" i="2"/>
  <c r="E25" i="2"/>
  <c r="F28" i="2"/>
  <c r="F34" i="2"/>
  <c r="E37" i="2"/>
  <c r="G28" i="2"/>
  <c r="H28" i="2" s="1"/>
  <c r="H34" i="2"/>
  <c r="G25" i="2"/>
  <c r="H25" i="2" s="1"/>
  <c r="H51" i="2" s="1"/>
  <c r="E51" i="2"/>
  <c r="E29" i="2"/>
  <c r="E35" i="2"/>
  <c r="E49" i="2"/>
  <c r="E26" i="2"/>
  <c r="F50" i="2" s="1"/>
  <c r="F29" i="2"/>
  <c r="G52" i="2" s="1"/>
  <c r="E32" i="2"/>
  <c r="F35" i="2"/>
  <c r="E23" i="2"/>
  <c r="F26" i="2"/>
  <c r="G29" i="2"/>
  <c r="H29" i="2" s="1"/>
  <c r="F32" i="2"/>
  <c r="G35" i="2"/>
  <c r="H35" i="2" s="1"/>
  <c r="F23" i="2"/>
  <c r="G26" i="2"/>
  <c r="H26" i="2" s="1"/>
  <c r="G32" i="2"/>
  <c r="H32" i="2" s="1"/>
  <c r="H50" i="2" s="1"/>
  <c r="E52" i="2"/>
  <c r="H56" i="2"/>
  <c r="G55" i="2"/>
  <c r="G18" i="2"/>
  <c r="H18" i="2"/>
  <c r="I18" i="2"/>
  <c r="F18" i="2"/>
  <c r="D18" i="2"/>
  <c r="F22" i="2"/>
  <c r="G22" i="2"/>
  <c r="H22" i="2" s="1"/>
  <c r="E18" i="2"/>
  <c r="F55" i="2" l="1"/>
  <c r="G49" i="2"/>
  <c r="F56" i="2"/>
  <c r="D52" i="2"/>
  <c r="F58" i="2"/>
  <c r="F47" i="2"/>
  <c r="F52" i="2"/>
  <c r="F57" i="2"/>
  <c r="G60" i="2"/>
  <c r="H47" i="2"/>
  <c r="D48" i="2"/>
  <c r="H54" i="2"/>
  <c r="D51" i="2"/>
  <c r="H58" i="2"/>
  <c r="G47" i="2"/>
  <c r="D50" i="2"/>
  <c r="D55" i="2"/>
  <c r="G50" i="2"/>
  <c r="D53" i="2"/>
  <c r="F53" i="2"/>
  <c r="D46" i="2"/>
  <c r="G58" i="2"/>
  <c r="D47" i="2"/>
  <c r="D45" i="2"/>
  <c r="D56" i="2"/>
  <c r="F49" i="2"/>
  <c r="H48" i="2"/>
  <c r="D59" i="2"/>
  <c r="H45" i="2"/>
  <c r="F48" i="2"/>
  <c r="D49" i="2"/>
  <c r="F54" i="2"/>
  <c r="D58" i="2"/>
  <c r="F60" i="2"/>
  <c r="H59" i="2"/>
  <c r="H53" i="2"/>
  <c r="F59" i="2"/>
  <c r="F46" i="2"/>
  <c r="G59" i="2"/>
  <c r="D54" i="2"/>
  <c r="F51" i="2"/>
  <c r="G45" i="2"/>
  <c r="D60" i="2"/>
  <c r="F45" i="2"/>
  <c r="H57" i="2"/>
  <c r="G48" i="2"/>
  <c r="H55" i="2"/>
  <c r="G54" i="2"/>
  <c r="H49" i="2"/>
  <c r="H60" i="2"/>
  <c r="G53" i="2"/>
  <c r="H46" i="2"/>
  <c r="G57" i="2"/>
  <c r="H52" i="2"/>
  <c r="G46" i="2"/>
  <c r="G51" i="2"/>
</calcChain>
</file>

<file path=xl/sharedStrings.xml><?xml version="1.0" encoding="utf-8"?>
<sst xmlns="http://schemas.openxmlformats.org/spreadsheetml/2006/main" count="1363" uniqueCount="549">
  <si>
    <t>Publication title</t>
  </si>
  <si>
    <t xml:space="preserve">Conference </t>
  </si>
  <si>
    <t>Conference year</t>
  </si>
  <si>
    <t>Conference country</t>
  </si>
  <si>
    <t>Number of authors</t>
  </si>
  <si>
    <t>Country of first author (as per publication date)</t>
  </si>
  <si>
    <t>Number of references provided in the PDF</t>
  </si>
  <si>
    <t>Number of citations under Google Scholar</t>
  </si>
  <si>
    <t>Number of tables</t>
  </si>
  <si>
    <t>Number of figures and graphs</t>
  </si>
  <si>
    <t>DOI</t>
  </si>
  <si>
    <t>Blockchain Capabilities in Supply Chain Management: A Literature Review</t>
  </si>
  <si>
    <t>BIOTC</t>
  </si>
  <si>
    <t>Japan</t>
  </si>
  <si>
    <t xml:space="preserve">China </t>
  </si>
  <si>
    <t>10.1145/3625078.3625079</t>
  </si>
  <si>
    <t>Proof of Review: Trust Me, It’s Been Reviewed</t>
  </si>
  <si>
    <t>USA</t>
  </si>
  <si>
    <t>10.1145/3625078.3625082</t>
  </si>
  <si>
    <t>Examination on interoperability of blockchains by using ZK-rollups</t>
  </si>
  <si>
    <t>10.1145/3625078.3625084</t>
  </si>
  <si>
    <t>A Secure and IoT-Enabled Data Sharing System Based on IPFS and IOTA Blockchain</t>
  </si>
  <si>
    <t>Taiwan</t>
  </si>
  <si>
    <t>10.1145/3625078.3625085</t>
  </si>
  <si>
    <t>Building Students’ Digital Footprints with Blockchain in PBL Activities</t>
  </si>
  <si>
    <t>Russia</t>
  </si>
  <si>
    <t>10.1145/3625078.3625087</t>
  </si>
  <si>
    <t>Text Mining of User Comments Based on Deep Learning</t>
  </si>
  <si>
    <t>China</t>
  </si>
  <si>
    <t>10.1145/3625078.3625088</t>
  </si>
  <si>
    <t>Zero-Knowledge Proofs based delegation authentication for Industrial Internet of Things in certificateless proxy signatures</t>
  </si>
  <si>
    <t>IoTSMS</t>
  </si>
  <si>
    <t>Pakistan</t>
  </si>
  <si>
    <t>10.1109/IOTSMS59855.2023.10325763</t>
  </si>
  <si>
    <t>An Adaptive Flow-based NIDS for Smart Home Networks Against Malware Behavior Using XGBoost combined with Rough Set Theory</t>
  </si>
  <si>
    <t>10.1109/IOTSMS59855.2023.10325714</t>
  </si>
  <si>
    <t>Reducing the travel time of passengers between bus stations in the city by using the smart subsystem of road side unit (RSU) in the high traffic intersections of Zanjan city</t>
  </si>
  <si>
    <t>Iran</t>
  </si>
  <si>
    <t>10.1109/IOTSMS59855.2023.10325689</t>
  </si>
  <si>
    <t>An IoT-based Smart Bathroom for Healthy Life</t>
  </si>
  <si>
    <t>10.1109/IOTSMS59855.2023.10325760</t>
  </si>
  <si>
    <t>AI-Enabled Plastic Pollution Monitoring System for Toronto Waterways</t>
  </si>
  <si>
    <t>Canada</t>
  </si>
  <si>
    <t>10.1109/IOTSMS59855.2023.10325803</t>
  </si>
  <si>
    <t>Bolstering the Mobile Cloud: Addressing Emerging Threats and Strengthening Multi-Layered Defenses for Robust Mobile Security</t>
  </si>
  <si>
    <t>10.1109/IOTSMS59855.2023.10325824</t>
  </si>
  <si>
    <t>Generating Breathing Patterns in
 Real-Time: Low-Latency Respiratory
 Phase Tracking From 25 Hz PPG</t>
  </si>
  <si>
    <t>EAI HealthyIOT</t>
  </si>
  <si>
    <t>Slovakia</t>
  </si>
  <si>
    <t>10.1007/978-3-031-71911-0_8</t>
  </si>
  <si>
    <t>Commercial and Research-Based
 Wearable Devices in Spinal Postural
 Analysis: A Systematic Review</t>
  </si>
  <si>
    <t>UK</t>
  </si>
  <si>
    <t>10.1007/978-3-031-71911-0_6</t>
  </si>
  <si>
    <t>Transforming Diabetes Care: A Review of IoT-Based Mobile Health Systems</t>
  </si>
  <si>
    <t>10.1007/978-3-031-71911-0_2</t>
  </si>
  <si>
    <t>Navigating Health Applications Realms:  Consent Challenges and User Empowerment  in European Law</t>
  </si>
  <si>
    <t>Sweden</t>
  </si>
  <si>
    <t>10.1007/978-3-031-71911-0_9</t>
  </si>
  <si>
    <t>Role of Big Data, AI and Deep Learning  in Medical Image Training Models and Decision Support System Using I4.0 Technologies</t>
  </si>
  <si>
    <t>India</t>
  </si>
  <si>
    <t>10.1007/978-3-031-71911-0_7</t>
  </si>
  <si>
    <t>Enhancing Transparency  and Trustworthiness of Healthcare IoT
 Data with AWS: A Proposed Model</t>
  </si>
  <si>
    <t>10.1007/978-3-031-71911-0_4</t>
  </si>
  <si>
    <t>Lightweight and Self Adaptive Model for Domain Invariant Bearing Fault Diagnosis</t>
  </si>
  <si>
    <t>IoTBDS</t>
  </si>
  <si>
    <t>Czech Republic</t>
  </si>
  <si>
    <t>Belgium</t>
  </si>
  <si>
    <t>10.5220/0011822700003482</t>
  </si>
  <si>
    <t>Quantum Clustering on Streaming Data: A Novel Method for Analyzing Big Data</t>
  </si>
  <si>
    <t>Austria</t>
  </si>
  <si>
    <t>10.5220/0011764200003482</t>
  </si>
  <si>
    <t>An Energy Management Unit for Predictive Solar Energy Harvesting IoT</t>
  </si>
  <si>
    <t>10.5220/0011839500003482</t>
  </si>
  <si>
    <t>Simulation Based Performance Evaluation of FIWARE IoT Platform for Smart Agriculture</t>
  </si>
  <si>
    <t>Finland</t>
  </si>
  <si>
    <t>10.5220/0011918700003482</t>
  </si>
  <si>
    <t>Analysis of Security Events in Industrial Networks Using Self-Organizing Maps by the Example of Log4j</t>
  </si>
  <si>
    <t>Germany</t>
  </si>
  <si>
    <t>10.5220/0011839900003482</t>
  </si>
  <si>
    <t>Castles Built on Sand: Observations from Classifying Academic Cybersecurity Datasets with Minimalist Methods</t>
  </si>
  <si>
    <t>10.5220/0011853300003482</t>
  </si>
  <si>
    <t>A Survey of Pedestrian to Infrastructure Communication System for Pedestrian Safety: System Components and Design Challenges</t>
  </si>
  <si>
    <t>IFIP-IoT</t>
  </si>
  <si>
    <t>10.1007/978-3-031-45882-8_2</t>
  </si>
  <si>
    <t>Understanding Security Challenges and Defending Access Control Models for Cloud-Based Internet of Things Network</t>
  </si>
  <si>
    <t>10.1007/978-3-031-45882-8_13</t>
  </si>
  <si>
    <t>Block-Privacy: Privacy Preserving Smart Healthcare Framework: Leveraging Blockchain and Functional Encryption</t>
  </si>
  <si>
    <t>10.1007/978-3-031-45882-8_9</t>
  </si>
  <si>
    <t>Federated Edge-Cloud Framework for Heart Disease Risk Prediction Using Blockchain</t>
  </si>
  <si>
    <t>10.1007/978-3-031-45882-8_21</t>
  </si>
  <si>
    <t>FortiRx: Distributed Ledger Based Verifiable and Trustworthy Electronic Prescription Sharing</t>
  </si>
  <si>
    <t>10.1007/978-3-031-45882-8_19</t>
  </si>
  <si>
    <t>UAE</t>
  </si>
  <si>
    <t>10.1007/978-3-031-45882-8_16</t>
  </si>
  <si>
    <t>A Survey on Security in Data Transmission in IoT: Layered Architecture</t>
  </si>
  <si>
    <t>ICIOT</t>
  </si>
  <si>
    <t>Senegal</t>
  </si>
  <si>
    <t>10.1007/978-3-031-51734-1_1</t>
  </si>
  <si>
    <t>A Location Recommendation Model Based on User Behavior and Sequence Influence</t>
  </si>
  <si>
    <t>10.1007/978-3-031-51734-1_2</t>
  </si>
  <si>
    <t>GPChain: Optimizing Cross-Shard Transactions and Load Imbalance in Sharded Blockchain Networks</t>
  </si>
  <si>
    <t>10.1007/978-3-031-51734-1_3</t>
  </si>
  <si>
    <t>Distributed Photovoltaic Power Generation Prediction Based on Feature Extraction and Multi-model Fusion</t>
  </si>
  <si>
    <t>10.1007/978-3-031-51734-1_4</t>
  </si>
  <si>
    <t>DigitalPlantMan: A Multi Process Manufacturing Task Management System for Digital Plant</t>
  </si>
  <si>
    <t>10.1007/978-3-031-51734-1_6</t>
  </si>
  <si>
    <t>Reinforcement Learning Based Angle-Of-Arrival Detection for Millimeter-Wave Software-Defined Radio Systems</t>
  </si>
  <si>
    <t xml:space="preserve">IFIP-IoT </t>
  </si>
  <si>
    <t>10.1007/978-3-031-45878-1_11</t>
  </si>
  <si>
    <t>Role-Based Access Control in Private Blockchain For IoT Integrated Smart Contract</t>
  </si>
  <si>
    <t>Lite-Agro: Exploring Light-Duty Computing Platforms for IoAT-Edge AI in Plant Disease Identification</t>
  </si>
  <si>
    <t>10.1007/978-3-031-45882-8_25</t>
  </si>
  <si>
    <t>Secure Dynamic PUF for IoT Security</t>
  </si>
  <si>
    <t>10.1007/978-3-031-45878-1_33</t>
  </si>
  <si>
    <t>Energy-Efficient Access Point Deployment for Industrial IoT Systems</t>
  </si>
  <si>
    <t>10.1007/978-3-031-45878-1_13</t>
  </si>
  <si>
    <t>Safe Roads Traffic Management and Road Safety Platform for Smart Cities</t>
  </si>
  <si>
    <t>WF-IoT</t>
  </si>
  <si>
    <t>Portugal</t>
  </si>
  <si>
    <t>10.1109/WF-IoT58464.2023.10539505</t>
  </si>
  <si>
    <t>Robust Proximity Detection Using On-Device Gait Monitoring</t>
  </si>
  <si>
    <t>10.1109/WF-IoT58464.2023.10539587</t>
  </si>
  <si>
    <t>Optimizing IoT-Based Asset and Utilization Tracking Efficient Activity Classification with MINIROCKET on Resource-Constrained Devices</t>
  </si>
  <si>
    <t>Switzerland</t>
  </si>
  <si>
    <t>10.1109/WF-IoT58464.2023.10539550</t>
  </si>
  <si>
    <t>mmID High-Resolution mmWave Imaging for Human Identification</t>
  </si>
  <si>
    <t>10.1109/WF-IoT58464.2023.10539484</t>
  </si>
  <si>
    <t>Improving an Ultra Lightweight AES for IoT Applications</t>
  </si>
  <si>
    <t>Brazil</t>
  </si>
  <si>
    <t>10.1109/WF-IoT58464.2023.10539597</t>
  </si>
  <si>
    <t>Data Integration Framework for Virtual Reality Enabled Digital Twins</t>
  </si>
  <si>
    <t>Norway</t>
  </si>
  <si>
    <t>10.1109/WF-IoT58464.2023.10539546</t>
  </si>
  <si>
    <t>Digital Product Passports: Use Cases Framework and Technical Architecture Using DLT and Smart Contracts</t>
  </si>
  <si>
    <t>Cyprus</t>
  </si>
  <si>
    <t>10.1109/DCOSS-IoT58021.2023.00067</t>
  </si>
  <si>
    <t>Generative Adversarial Networks-Driven Cyber Threat Intelligence Detection Framework for Securing Internet of Things</t>
  </si>
  <si>
    <t>10.1109/DCOSS-IoT58021.2023.00042</t>
  </si>
  <si>
    <t>Technological Innovations in Agriculture for Scouting Halyomorpha Halys in Orchards</t>
  </si>
  <si>
    <t>10.1109/DCOSS-IoT58021.2023.00110</t>
  </si>
  <si>
    <t>A Scalable and Cost-Efficient Antenna Testbed Using FPGA-Server Compound Structures for Prototyping 6G Applications</t>
  </si>
  <si>
    <t>10.1109/DCOSS-IoT58021.2023.00039</t>
  </si>
  <si>
    <t>Quantifying the Variability of Power and Energy Consumption for IoT Edge Nodes</t>
  </si>
  <si>
    <t>10.1109/DCOSS-IoT58021.2023.00094</t>
  </si>
  <si>
    <t>Intent-Driven Distributed Applications Management Over Compute and Network Resources in the Computing Continuum</t>
  </si>
  <si>
    <t>Greece</t>
  </si>
  <si>
    <t>10.1109/DCOSS-IoT58021.2023.00074</t>
  </si>
  <si>
    <t>Miriam: Exploiting Elastic Kernels for Real-time Multi-DNN Inference on Edge GPU</t>
  </si>
  <si>
    <t>SenSys</t>
  </si>
  <si>
    <t>Türkiye (Istanbul)</t>
  </si>
  <si>
    <t>10.1145/3625687.3625789</t>
  </si>
  <si>
    <t>EdgeFM: Leveraging Foundation Model for Open-set Learning on the Edge</t>
  </si>
  <si>
    <t>10.1145/3625687.3625793</t>
  </si>
  <si>
    <t>nnPerf: Demystifying DNN Runtime Inference Latency on Mobile Platforms</t>
  </si>
  <si>
    <t>10.1145/3625687.3625797</t>
  </si>
  <si>
    <t>LifeLearner: Hardware-Aware Meta Continual Learning System for Embedded Computing Platforms</t>
  </si>
  <si>
    <t>10.1145/3625687.3625804</t>
  </si>
  <si>
    <t>On-NAS: On-Device Neural Architecture Search on Memory-Constrained Intelligent Embedded Systems</t>
  </si>
  <si>
    <t xml:space="preserve">South Korea </t>
  </si>
  <si>
    <t>10.1145/3625687.3625814</t>
  </si>
  <si>
    <t>FingerFaker: Spoofing Attack on COTS Fingerprint Recognition Without Victim's Knowledge</t>
  </si>
  <si>
    <t>10.1145/3625687.3625783</t>
  </si>
  <si>
    <t>One-time Camera Fingerprint: Unauthorized Photography Detection under Modulated Illumination</t>
  </si>
  <si>
    <t>10.1145/3625687.3625784</t>
  </si>
  <si>
    <t>RIStealth: Practical and Covert Physical-Layer Attack against WiFi-based Intrusion Detection via Reconfigurable Intelligent Surface</t>
  </si>
  <si>
    <t>10.1145/3625687.3625790</t>
  </si>
  <si>
    <t>Jawthenticate: Microphone-free Speech-based Authentication using Jaw Motion and Facial Vibrations</t>
  </si>
  <si>
    <t>10.1145/3625687.3625813</t>
  </si>
  <si>
    <t>NeuroRadar: A Neuromorphic Radar Sensor for Low-Power IoT Systems</t>
  </si>
  <si>
    <t>10.1145/3625687.3625788</t>
  </si>
  <si>
    <t>Enabling Low-Cost Server-Level Power Monitoring in Data Centers Using Conducted EMI</t>
  </si>
  <si>
    <t>10.1145/3625687.3625801</t>
  </si>
  <si>
    <t>PDAssess: A Privacy-preserving Free-speech based Parkinson's Disease Daily Assessment System</t>
  </si>
  <si>
    <t>10.1145/3625687.3625805</t>
  </si>
  <si>
    <t>Testing Masks and Air Filters With Your Smartphones</t>
  </si>
  <si>
    <t>Singapore</t>
  </si>
  <si>
    <t>10.1145/3625687.3625807</t>
  </si>
  <si>
    <t>METRO: Magnetic Road Markings for All-weather, Smart Roads</t>
  </si>
  <si>
    <t>10.1145/3625687.3625809</t>
  </si>
  <si>
    <t>AquaHelper: Underwater SOS Transmission and Detection in Swimming Pools</t>
  </si>
  <si>
    <t>10.1145/3625687.3625816</t>
  </si>
  <si>
    <t>Metasight: High-Resolution NLoS Radar with Efficient Metasurface Encoding</t>
  </si>
  <si>
    <t>10.1145/3625687.3625803</t>
  </si>
  <si>
    <t>Construct 3D Hand Skeleton with Commercial WiFi</t>
  </si>
  <si>
    <t>10.1145/3625687.3625812</t>
  </si>
  <si>
    <t>Meta-Sticker: Sub-Terahertz Metamaterial Stickers for Non-Invasive Mobile Food Sensing</t>
  </si>
  <si>
    <t>10.1145/3625687.3625815</t>
  </si>
  <si>
    <t>CurtainNet: Enabling precise beamforming with a deformable antenna array on a fabric substrate</t>
  </si>
  <si>
    <t>10.1145/3625687.3625787</t>
  </si>
  <si>
    <t>Citywide LoRa Network Deployment and Operation: Measurements, Analysis, and Implications</t>
  </si>
  <si>
    <t>10.1145/3625687.3625796</t>
  </si>
  <si>
    <t>BIFROST: Reinventing WiFi Signals Based on Dispersion Effect for Accurate Indoor Localization</t>
  </si>
  <si>
    <t>10.1145/3625687.3625786</t>
  </si>
  <si>
    <t>Ghost-Probe: NLOS Pedestrian Rushing Detection with Monocular Camera for Automated Driving</t>
  </si>
  <si>
    <t>10.1145/3625687.3625791</t>
  </si>
  <si>
    <t>Global Localization of Energy-Constrained Miniature RF Emitters using Low Earth Orbit Satellites</t>
  </si>
  <si>
    <t>10.1145/3625687.3625794</t>
  </si>
  <si>
    <t>Push the Limit of Single-Chip mmWave Radar-Based Egomotion Estimation with Moving Objects in FoV</t>
  </si>
  <si>
    <t>10.1145/3625687.3625795</t>
  </si>
  <si>
    <t>Egocentric Human Pose Estimation using Head-mounted mmWave Radar</t>
  </si>
  <si>
    <t>10.1145/3625687.3625799</t>
  </si>
  <si>
    <t>RIScan: RIS-aided Multi-user Indoor Localization Using COTS Wi-Fi</t>
  </si>
  <si>
    <t>10.1145/3625687.3625806</t>
  </si>
  <si>
    <t>XRLoc: Accurate UWB Localization to Realize XR Deployments</t>
  </si>
  <si>
    <t>10.1145/3625687.3625810</t>
  </si>
  <si>
    <t>An Online Defense against Object-Based LiDAR Attacks in Autonomous Driving</t>
  </si>
  <si>
    <t>10.1145/3666025.3699345</t>
  </si>
  <si>
    <t>FedHybrid: Breaking the Memory Wall of Federated Learning via Hybrid Tensor Management</t>
  </si>
  <si>
    <t>10.1145/3666025.3699346</t>
  </si>
  <si>
    <t>TaDA: Task Decoupling Architecture for the Battery-less Internet of Things</t>
  </si>
  <si>
    <t>10.1145/3666025.3699347</t>
  </si>
  <si>
    <t>DynaSpa: Exploiting Spatial Sparsity for Efficient Dynamic DNN Inference on Devices</t>
  </si>
  <si>
    <t>10.1145/3666025.3699348</t>
  </si>
  <si>
    <t>Large Model for Small Data: Foundation Model for Cross-Modal RF Human Activity Recognition</t>
  </si>
  <si>
    <t>10.1145/3666025.3699349</t>
  </si>
  <si>
    <t>LTA: Control-Driven UAV Testing and Bug Localization with Flight Record Decomposition</t>
  </si>
  <si>
    <t>10.1145/3666025.3699350</t>
  </si>
  <si>
    <t>RFCanvas: Modeling RF Channel by Fusing Visual Priors and Few-shot RF Measurements</t>
  </si>
  <si>
    <t>10.1145/3666025.3699351</t>
  </si>
  <si>
    <t>FireLoc: Low-latency Multi-modal Wildfire Geolocation</t>
  </si>
  <si>
    <t>10.1145/3666025.3699318</t>
  </si>
  <si>
    <t>F2Zip: Finetuning-Free Model Compression for Scenario-Adaptive Embedded Vision</t>
  </si>
  <si>
    <t>10.1145/3666025.3699319</t>
  </si>
  <si>
    <t>Locating Your Smart Devices with a Single Speaker</t>
  </si>
  <si>
    <t>10.1145/3666025.3699320</t>
  </si>
  <si>
    <t>ASLiquid: Non-Intrusive Liquid Counterfeit Identification with Your Earphones</t>
  </si>
  <si>
    <t>10.1145/3666025.3699321</t>
  </si>
  <si>
    <t>MetaFL: Privacy-preserving User Authentication in Virtual Reality with Federated Learning</t>
  </si>
  <si>
    <t>10.1145/3666025.3699322</t>
  </si>
  <si>
    <t>SALINA: Towards Sustainable Live Sonar Analytics in Wild Ecosystems</t>
  </si>
  <si>
    <t>10.1145/3666025.3699323</t>
  </si>
  <si>
    <t>ImmerScope: Multi-view Video Aggregation at Edge towards Immersive Content Services</t>
  </si>
  <si>
    <t>10.1145/3666025.3699324</t>
  </si>
  <si>
    <t>PhyMask: An Adaptive Masking Paradigm for Efficient Self-Supervised Learning in IoT</t>
  </si>
  <si>
    <t>10.1145/3666025.3699325</t>
  </si>
  <si>
    <t>Effective Heterogeneous Federated Learning via Efficient Hypernetwork-based Weight Generation</t>
  </si>
  <si>
    <t>10.1145/3666025.3699326</t>
  </si>
  <si>
    <t>PieBridge: Fast and Parameter-Efficient On-Device Training via Proxy Networks</t>
  </si>
  <si>
    <t>10.1145/3666025.3699327</t>
  </si>
  <si>
    <t>Boosting Collaborative Vehicular Perception on the Edge with Vehicle-to-Vehicle Communication</t>
  </si>
  <si>
    <t>10.1145/3666025.3699328</t>
  </si>
  <si>
    <t>MetaLink: Extending Air-to-Water Wireless Communications Using Passive Bianisotropic Metasurfaces</t>
  </si>
  <si>
    <t>10.1145/3666025.3699329</t>
  </si>
  <si>
    <t>Behaviors Speak More: Achieving User Authentication Leveraging Facial Activities via mmWave Sensing </t>
  </si>
  <si>
    <t>10.1145/3666025.3699330</t>
  </si>
  <si>
    <t>mmCLIP: Boosting mmWave-based Zero-shot HAR via Signal-Text Alignment </t>
  </si>
  <si>
    <t>10.1145/3666025.3699331</t>
  </si>
  <si>
    <t>Riotee: An Open-source Hardware and Software Platform for the Battery-free Internet of Things </t>
  </si>
  <si>
    <t>10.1145/3666025.3699332</t>
  </si>
  <si>
    <t>Processor-Sharing Internet of Things Architecture for Large-scale Deployment </t>
  </si>
  <si>
    <t>10.1145/3666025.3699333</t>
  </si>
  <si>
    <t>MetaSoil: Passive mmWave Metamaterial Multi-layer Soil Moisture Sensing </t>
  </si>
  <si>
    <t>10.1145/3666025.3699334</t>
  </si>
  <si>
    <t>Fast-Inf: Ultra-Fast Embedded Intelligence on the Batteryless Edge </t>
  </si>
  <si>
    <t>Italy</t>
  </si>
  <si>
    <t>10.1145/3666025.3699335</t>
  </si>
  <si>
    <t>Wi2DMeasure: WiFi-based 2D Object Size Measurement</t>
  </si>
  <si>
    <t>10.1145/3666025.3699336</t>
  </si>
  <si>
    <t>Acoustic Side-channel Communications for Aerial Drones with HUM</t>
  </si>
  <si>
    <t>Netherlands</t>
  </si>
  <si>
    <t>10.1145/3666025.3699337</t>
  </si>
  <si>
    <t>FDLoRa: Tackling Downlink-Uplink Asymmetry with Full-duplex LoRa Gateways</t>
  </si>
  <si>
    <t>10.1145/3666025.3699338</t>
  </si>
  <si>
    <t>AdaShadow: Responsive Test-time Model Adaptation in Non-stationary Mobile Environments</t>
  </si>
  <si>
    <t>10.1145/3666025.3699339</t>
  </si>
  <si>
    <t>Mission: mmWave Radar Person Identification with RGB Cameras</t>
  </si>
  <si>
    <t>10.1145/3666025.3699340</t>
  </si>
  <si>
    <t>SEESys: Online Pose Error Estimation System for Visual SLAM</t>
  </si>
  <si>
    <t>10.1145/3666025.3699341</t>
  </si>
  <si>
    <t>ZenseTag: An RFID assisted Twin-Tag Single Antenna COTS Sensor Interface</t>
  </si>
  <si>
    <t>10.1145/3666025.3699342</t>
  </si>
  <si>
    <t>EMTrig: Physical Adversarial Examples Triggered by Electromagnetic Injection towards LiDAR Perception</t>
  </si>
  <si>
    <t>10.1145/3666025.3699343</t>
  </si>
  <si>
    <t>MagicStream: Bandwidth-conserving Immersive Telepresence via Semantic Communication</t>
  </si>
  <si>
    <t>10.1145/3666025.3699344</t>
  </si>
  <si>
    <t>Blockchain-based Energy Trading among UAVs and Base Stations for Net-Zero</t>
  </si>
  <si>
    <t>10.1109/WF-IoT62078.2024.10811256</t>
  </si>
  <si>
    <t>QoS Improvement using Federated Learning-based Position Prediction for mobile IoT</t>
  </si>
  <si>
    <t>10.1109/WF-IoT62078.2024.10811284</t>
  </si>
  <si>
    <t>IoTTraffic: Assessing Generative Models for Internet of Things Attack Data Flows</t>
  </si>
  <si>
    <t>10.1109/WF-IoT62078.2024.10811444</t>
  </si>
  <si>
    <t>MininetFed: A tool for assessing client selection, aggregation, and security in Federated Learning</t>
  </si>
  <si>
    <t>10.1109/WF-IoT62078.2024.10811374</t>
  </si>
  <si>
    <t>Security Requirements Engineering Approaches for IoT-Based Systems: A Comprehensive Review and Open Research Challenges</t>
  </si>
  <si>
    <t>10.1109/WF-IoT62078.2024.10811372</t>
  </si>
  <si>
    <t>Research on Electron Release Law of High-Voltage Pulse Helium Ionization Transducer for Breath Analysis in Cancer Diagnosis</t>
  </si>
  <si>
    <t>10.1109/WF-IoT62078.2024.10811254</t>
  </si>
  <si>
    <t>A Portable Closed-looped Dual-mode Neural Electrical Stimulation System</t>
  </si>
  <si>
    <t>10.1109/WF-IoT62078.2024.10811177</t>
  </si>
  <si>
    <t>Research on ECG signal processing under complex noise based on machine learning algorithm</t>
  </si>
  <si>
    <t>10.1109/WF-IoT62078.2024.10811195</t>
  </si>
  <si>
    <t>Advancements in Wearable Sensor Technology for Remote Health Monitoring</t>
  </si>
  <si>
    <t>10.1109/WF-IoT62078.2024.10811387</t>
  </si>
  <si>
    <t>Architecture and Design Requirements of an IoTBased Medical Vital System</t>
  </si>
  <si>
    <t>10.1109/WF-IoT62078.2024.10811172</t>
  </si>
  <si>
    <t>Open Service for Networking Systems of AI: A Case Study in Adaptation Optimization</t>
  </si>
  <si>
    <t>10.1109/WF-IoT62078.2024.10811380</t>
  </si>
  <si>
    <t>AI-GeneSI: Exploiting Generative AI for Autonomous Generation of the Southbound Interface in the IoT</t>
  </si>
  <si>
    <t>10.1109/WF-IoT62078.2024.10811300</t>
  </si>
  <si>
    <t>Time-Division Online Speculative Inference for Cost-Effective Intelligent Internet of Things</t>
  </si>
  <si>
    <t>10.1109/WF-IoT62078.2024.10811332</t>
  </si>
  <si>
    <t>Palmprint Biometrics: Online Learning With Differential Evolution and Contrastive Representation</t>
  </si>
  <si>
    <t>10.1109/WF-IoT62078.2024.10811233</t>
  </si>
  <si>
    <t>GENI: GANs Evaluation of iNjection Attacks on IoT</t>
  </si>
  <si>
    <t>10.1109/WF-IoT62078.2024.10811436</t>
  </si>
  <si>
    <t>Trading Datarate for Latency in Quantum Communication</t>
  </si>
  <si>
    <t>10.1109/WF-IoT62078.2024.10811122</t>
  </si>
  <si>
    <t>Aiding Classical-Quantum Protocol Stack With Classical Error Correction: an IoT Perspective</t>
  </si>
  <si>
    <t>10.1109/WF-IoT62078.2024.10811366</t>
  </si>
  <si>
    <t>Quantum PUF and Its Applications With Information Theoretic Analysis</t>
  </si>
  <si>
    <t>10.1109/WF-IoT62078.2024.10811185</t>
  </si>
  <si>
    <t>LatentQGAN: A Hybrid QGAN With Classical Convolutional Autoencoder</t>
  </si>
  <si>
    <t>10.1109/WF-IoT62078.2024.10811384</t>
  </si>
  <si>
    <t>A Fast and Energy-Efficient Method for Online and Incremental Pareto-Front Update</t>
  </si>
  <si>
    <t>10.1109/WF-IoT62078.2024.10811392</t>
  </si>
  <si>
    <t>Energy-Efficient Cloud Detection on Satellites Using Edge-Based Deep Learning</t>
  </si>
  <si>
    <t>10.1109/WF-IoT62078.2024.10811388</t>
  </si>
  <si>
    <t>Surveying the Energy Efficiency and Applicability of Blockchain Platforms for the Internet of Things</t>
  </si>
  <si>
    <t>Jordan</t>
  </si>
  <si>
    <t>10.1109/WF-IoT62078.2024.10811461</t>
  </si>
  <si>
    <t>Lettuce Disease Detection for a Home-Based Smart Farm System</t>
  </si>
  <si>
    <t>Philippines</t>
  </si>
  <si>
    <t xml:space="preserve"> 10.1109/WF-IoT62078.2024.10811283</t>
  </si>
  <si>
    <t>Legal considerations for the transportation of unaccompanied minors in autonomous vehicles</t>
  </si>
  <si>
    <t>10.1109/WF-IoT62078.2024.10811331</t>
  </si>
  <si>
    <t>Multi-Objective Algorithms for Learning Open-Ended Robotic Problems</t>
  </si>
  <si>
    <t xml:space="preserve"> 10.1109/WF-IoT62078.2024.10811432</t>
  </si>
  <si>
    <t>A Kalman Filtering and Least Absolute Residuals based Time Series Data Reconstruction Strategy for Structural Health Monitoring</t>
  </si>
  <si>
    <t>10.1109/WF-IoT62078.2024.10811210</t>
  </si>
  <si>
    <t>Edge-Cloud VPN Traffic Analysis over Cross Platforms</t>
  </si>
  <si>
    <t>10.1109/WF-IoT62078.2024.10811218</t>
  </si>
  <si>
    <t>Joint communication and sensing over the lossy bosonic quantum channel</t>
  </si>
  <si>
    <t>10.1109/WF-IoT62078.2024.10811180</t>
  </si>
  <si>
    <t>Physical layer architecture for spatially distributed quantum IoT sensors in telecom provider networks</t>
  </si>
  <si>
    <t>10.1109/WF-IoT62078.2024.10811360</t>
  </si>
  <si>
    <t>Asynchronous Telegate and Teledata Protocols for Distributed Quantum Computing</t>
  </si>
  <si>
    <t xml:space="preserve"> 10.1109/WF-IoT62078.2024.10811197</t>
  </si>
  <si>
    <t>A logical IoT architecture for a spatially distributed quantum sensor system</t>
  </si>
  <si>
    <t>10.1109/WF-IoT62078.2024.10811124</t>
  </si>
  <si>
    <t>HELIO-NET: Heliostats Empowered with Wireless Integrated Access and Backhaul Technology</t>
  </si>
  <si>
    <t>10.1109/WF-IoT62078.2024.10811204</t>
  </si>
  <si>
    <t>Improving Energy Efficiency and Reliability by Optimizing Gateway Placement in Dense LoRaWAN Networks</t>
  </si>
  <si>
    <t>10.1109/WF-IoT62078.2024.10811389</t>
  </si>
  <si>
    <t>Leveraging Light Intensity Structural Breaks for IoT Context-Awareness</t>
  </si>
  <si>
    <t>10.1109/WF-IoT62078.2024.10811355</t>
  </si>
  <si>
    <t>LlamaF: An Efficient Llama2 Architecture Accelerator on Embedded FPGAs</t>
  </si>
  <si>
    <t>10.1109/WF-IoT62078.2024.10811385</t>
  </si>
  <si>
    <t>Navigating High-Degree Heterogeneity: Federated Learning in Aerial and Space Networks</t>
  </si>
  <si>
    <t>10.1109/WF-IoT62078.2024.10811460</t>
  </si>
  <si>
    <t>Training Swinging Door Trending Compression Algorithm for IoT devices</t>
  </si>
  <si>
    <t>10.1109/WF-IoT62078.2024.10811298</t>
  </si>
  <si>
    <t>Autonomous Bio-inspired 3D Deployment of Aerial Base Stations for Optimal Wireless Coverage in 5G Networks</t>
  </si>
  <si>
    <t>DCOSS-IoT</t>
  </si>
  <si>
    <t>United Arab Emirates</t>
  </si>
  <si>
    <t>Algeria</t>
  </si>
  <si>
    <t>10.1109/DCOSS-IoT61029.2024.00030.</t>
  </si>
  <si>
    <t>Self-Supervised Contrastive Learning for Camera-to-Radar Knowledge Distillation</t>
  </si>
  <si>
    <t>10.1109/DCOSS-IoT61029.2024.00031</t>
  </si>
  <si>
    <t>Balancing Energy Efficiency and Portability: Assessing Domain-Specific Languages in Edge Platforms</t>
  </si>
  <si>
    <t>Spain</t>
  </si>
  <si>
    <t>10.1109/DCOSS-IoT61029.2024.00032.</t>
  </si>
  <si>
    <t>ARSFineTune: On-the-Fly Tuning of Vision Models for Unmanned Ground Vehicles</t>
  </si>
  <si>
    <t>10.1109/DCOSS-IoT61029.2024.00033.</t>
  </si>
  <si>
    <t>An O(1)-rounds Deterministic Distributed Approximation Algorithm for the Traveling Salesman Problem in Congested Clique</t>
  </si>
  <si>
    <t>10.1109/DCOSS-IoT61029.2024.00034.</t>
  </si>
  <si>
    <t>FedLSF: Federated Local Graph Learning via Specformers</t>
  </si>
  <si>
    <t>10.1109/DCOSS-IoT61029.2024.00035</t>
  </si>
  <si>
    <t>Autotuning of Resonant Magnetic Induction Communications</t>
  </si>
  <si>
    <t>10.1109/DCOSS-IoT61029.2024.00036.</t>
  </si>
  <si>
    <t>Privacy-Preserving Multi-Party Keyword-Based Classification of Unstructured Text Data</t>
  </si>
  <si>
    <t>10.1109/DCOSS-IoT61029.2024.00037</t>
  </si>
  <si>
    <t>Real-time Threat Detection Strategies for Resource-constrained Devices</t>
  </si>
  <si>
    <t>10.1109/DCOSS-IoT61029.2024.00038</t>
  </si>
  <si>
    <t>Local Differential Privacy for Smart Meter Data Sharing with Energy Disaggregation</t>
  </si>
  <si>
    <t>Australia</t>
  </si>
  <si>
    <t>10.1109/DCOSS-IoT61029.2024.00012</t>
  </si>
  <si>
    <t>EdgeBoost: Confidence Boosting for Resource Constrained Inference via Selective Offloading</t>
  </si>
  <si>
    <t>10.1016/j.comnet.2025.111437</t>
  </si>
  <si>
    <t>Multi-Behavior Multi-Agent Reinforcement Learning for Informed Search via Offline Training</t>
  </si>
  <si>
    <t>10.1109/DCOSS-IoT61029.2024.00014</t>
  </si>
  <si>
    <t>Adversarial Training on Limited-Resource DevicesThrough Asymmetric Disturbances</t>
  </si>
  <si>
    <t>10.1109/DCOSS-IoT61029.2024.00015</t>
  </si>
  <si>
    <t>Passive Screen-to-Camera Communication</t>
  </si>
  <si>
    <t>10.1109/DCOSS-IoT61029.2024.00016</t>
  </si>
  <si>
    <t>Adaptive Dynamic Adversarial Training with
Real-Time Feedback in 6G</t>
  </si>
  <si>
    <t>10.1109/DCOSS-IoT61029.2024.00017</t>
  </si>
  <si>
    <t>Adversarial Training to Prevent Wake Word Jamming in Personal Voice Assistants</t>
  </si>
  <si>
    <t>Ireland</t>
  </si>
  <si>
    <t>10.1109/DCOSS-IoT61029.2024.00018</t>
  </si>
  <si>
    <t>Obscured Wildfire Flame Detection by Spatio-temporal Analysis of Smoke Patterns Using Frame-wise Transformers</t>
  </si>
  <si>
    <t>10.1109/DCOSS-IoT61029.2024.00019</t>
  </si>
  <si>
    <t>Local Differential Privacy for Smart Meter Data Sharing With Energy Disaggregation</t>
  </si>
  <si>
    <t>Traffic Data Augmentation Using GANs for ITS</t>
  </si>
  <si>
    <t>10.1109/DCOSS-IoT61029.2024.00020</t>
  </si>
  <si>
    <t>ISFD: Efficient and Fault-tolerant In-System-Failure-Detection for LP FPGA-Based Smart-Sensors in Space Expeditions</t>
  </si>
  <si>
    <t>10.1109/DCOSS-IoT61029.2024.00021</t>
  </si>
  <si>
    <t>Resource-Efficient Text-Based Person Re-Identification on Embedded Devices</t>
  </si>
  <si>
    <t>10.1109/DCOSS-IoT61029.2024.00022</t>
  </si>
  <si>
    <t>Revealing Semantic Mappings Across HAR Datasets</t>
  </si>
  <si>
    <t>10.1109/DCOSS-IoT61029.2024.00023</t>
  </si>
  <si>
    <t>A Modular Plugin for Concept Drift in Federated Learning</t>
  </si>
  <si>
    <t>10.1109/DCOSS-IoT61029.2024.00024</t>
  </si>
  <si>
    <t>FedMIL: Federated-Multiple Instance Learning for Video Analysis with Optimized DPP Scheduling</t>
  </si>
  <si>
    <t>10.1109/DCOSS-IoT61029.2024.00025</t>
  </si>
  <si>
    <t>Beyond Detection: Leveraging Large Language Models for Cyber Attack Prediction in IoT Networks</t>
  </si>
  <si>
    <t>10.1109/DCOSS-IoT61029.2024.00026</t>
  </si>
  <si>
    <t>Ensemble-Based Cyber Intrusion Detection for Robust Smart City Protection</t>
  </si>
  <si>
    <t>10.1109/DCOSS-IoT61029.2024.00027</t>
  </si>
  <si>
    <t>A fog and Blockchain-Based Distributed Virtual Private Networks (VPN)</t>
  </si>
  <si>
    <t>Tunisia</t>
  </si>
  <si>
    <t>10.1109/DCOSS-IoT61029.2024.00028</t>
  </si>
  <si>
    <t>WaveTune: Harnessing Radar Sensors to Composes Mucis Beats with Body Gestures</t>
  </si>
  <si>
    <t>10.1109/DCOSS-IoT61029.2024.00029</t>
  </si>
  <si>
    <t xml:space="preserve">Blockchain, IoT, and AI-based framework for traceability in carbon capture utilization storage (CCUS) supply chain
</t>
  </si>
  <si>
    <t xml:space="preserve"> Japan  </t>
  </si>
  <si>
    <t>10.1145/3688225.3688234</t>
  </si>
  <si>
    <t>A Classification Method for Blockchain Addresses ConsideringFeatures of Address Clusters</t>
  </si>
  <si>
    <t>10.1145/3688225.3688235</t>
  </si>
  <si>
    <t>Scalability limitations of Kademlia DHTs when enabling DataAvailability Sampling in Ethereum</t>
  </si>
  <si>
    <t>10.1145/3688225.3688236</t>
  </si>
  <si>
    <t xml:space="preserve">Pluggable Consensus in Hyperledger Fabric
</t>
  </si>
  <si>
    <t>10.1145/3688225.3688237</t>
  </si>
  <si>
    <t xml:space="preserve">Improved ECQV Implicit Certificates Providing Batch Verification
</t>
  </si>
  <si>
    <t>10.1145/3688225.3688238</t>
  </si>
  <si>
    <t>Establishing a Baseline for Evaluating Blockchain-Based Self-Sovereign Identity Systems: A Systematic Approach to Assess Capability, Compatibility and Interoperability</t>
  </si>
  <si>
    <t>10.1145/3688225.3688239</t>
  </si>
  <si>
    <t>An Analytical Study of Large Blocks on Ethereum</t>
  </si>
  <si>
    <t>10.1145/3688225.3688240</t>
  </si>
  <si>
    <t xml:space="preserve">A Blockchain-Based Accident Forensics System for Smart Connected Vehicles
</t>
  </si>
  <si>
    <t>10.1145/3688225.3688241</t>
  </si>
  <si>
    <t>Design an AutoCar Kit for Project-Based Learning in Autonomous Vehicle Programming for University Students</t>
  </si>
  <si>
    <t>Thailand</t>
  </si>
  <si>
    <t>Vietnam</t>
  </si>
  <si>
    <t>10.1007/978-3-031-77003-6_1</t>
  </si>
  <si>
    <t>Research and Application of Distributed Energy Storage Monitoring System Based on Plug-and-Play Protocols</t>
  </si>
  <si>
    <t>10.1007/978-3-031-77003-6_2</t>
  </si>
  <si>
    <t>Long Term Traffic Congestion Detection Method Based on Speed-Threshold</t>
  </si>
  <si>
    <t>Malaysia</t>
  </si>
  <si>
    <t>10.1007/978-3-031-77003-6_3</t>
  </si>
  <si>
    <t>Application of Digital Exhibition and Preservation of Intangible Cultural Heritage via Holographic Real-Time Cloud Broadcasting</t>
  </si>
  <si>
    <t>10.1007/978-3-031-77003-6_4</t>
  </si>
  <si>
    <t>Node Pressure Prediction by Aggregating Long-Range Information</t>
  </si>
  <si>
    <t>10.1007/978-3-031-77003-6_5</t>
  </si>
  <si>
    <t>Novel Technology for IoT Charging Battery</t>
  </si>
  <si>
    <t>Morocco</t>
  </si>
  <si>
    <t>10.1007/978-3-031-77003-6_6</t>
  </si>
  <si>
    <t>Optimizing Target Coverage in Wireless Sensor Networks: A Hybrid Differential Evolution and Simulated Annealing-Based Approach</t>
  </si>
  <si>
    <t>10.1007/978-3-031-77003-6_7</t>
  </si>
  <si>
    <t>Research on Automatic Detection and Early Warning of Epilepsy in Electroencephalogram Signals</t>
  </si>
  <si>
    <t>10.1007/978-3-031-77003-6_8</t>
  </si>
  <si>
    <t>Cross-Scale Bilevel Aggregation for Multi-exposure Fusion via Conditional Generative Adversarial Network</t>
  </si>
  <si>
    <t>10.1007/978-3-031-77003-6_9</t>
  </si>
  <si>
    <t>Sl. No.</t>
  </si>
  <si>
    <t>Year</t>
  </si>
  <si>
    <t>Name of the Conference</t>
  </si>
  <si>
    <t>No. of Papers</t>
  </si>
  <si>
    <t>All the papers are cited for more than 7 times.</t>
  </si>
  <si>
    <t>One paper has 7 citations.</t>
  </si>
  <si>
    <t>One paper has 10 citations.</t>
  </si>
  <si>
    <t>One paper has 63 citations.</t>
  </si>
  <si>
    <t>One paper has 5 citations.</t>
  </si>
  <si>
    <t>One paper has 3 citations.</t>
  </si>
  <si>
    <t>Two papers have citations above 30. All the papers are cited atleast once.</t>
  </si>
  <si>
    <t>One paper  has 5 citations.</t>
  </si>
  <si>
    <t>One paper has 25 citations.</t>
  </si>
  <si>
    <t>Three papers have citations above or equal to 40. Only two papers out of 27 are not cited.</t>
  </si>
  <si>
    <t>Four papers have no citations.</t>
  </si>
  <si>
    <t>Three papers have no citations.</t>
  </si>
  <si>
    <t>Six papers have no citations.</t>
  </si>
  <si>
    <t>Remarks</t>
  </si>
  <si>
    <t>EWSN</t>
  </si>
  <si>
    <t>ecoBLE: A Low-Computation Energy Consumption Prediction Framework for Bluetooth Low Energy</t>
  </si>
  <si>
    <t>-</t>
  </si>
  <si>
    <t>Revisiting Cellular Throughput Prediction over the Edge: Collaborative Multi-device, Multi-network in-situ Learning</t>
  </si>
  <si>
    <t>BLoB: Beating-based Localization for Single-antenna BLE Devices</t>
  </si>
  <si>
    <t>IPv6 over Bluetooth Advertisements: An alternative approach to IP over BLE</t>
  </si>
  <si>
    <t>Silent Stores in the Battery-less Internet of Things: A Good Idea?</t>
  </si>
  <si>
    <t>Modeling the Trade-off between Throughput and Reliability in a Bluetooth Low Energy Connection</t>
  </si>
  <si>
    <t>QualityBLE: A QoS Aware Implementation for BLE Mesh Networks</t>
  </si>
  <si>
    <t>Empowering IoT Applications with Flexible, Energy-Efficient Remote Management of Low-Power Edge Devices</t>
  </si>
  <si>
    <t>Assessing the Feasibility of Combined BLE and Wi-Fi Communication for High Data Sensing Applications</t>
  </si>
  <si>
    <t>Relative Information Superiority (RIS): a Novel Evaluation Measure for Binary Rule-Based Classification Models</t>
  </si>
  <si>
    <t>Internet of Things Fault Detection and Classification via Multitask Learning</t>
  </si>
  <si>
    <t>Transparent Handover of Automated Drone Missions between Edge-based Control Stations</t>
  </si>
  <si>
    <t>Quality-Aware Graph Learning Regularization For Heterogeneous
Air Quality Sensor Networks</t>
  </si>
  <si>
    <t>X-Lab: A Federated Testbed Infrastructure to Benchmark Geographically-Distributed Low-Power Wireless Systems</t>
  </si>
  <si>
    <t>Feasibility of Communication Between Sensor Nodes On-board Spacecraft Using Multi Layer Insulation</t>
  </si>
  <si>
    <t>Target Coverage-optimized Design and Operation of Wireless</t>
  </si>
  <si>
    <t>To Checkpoint or Not to Checkpoint: That is the Question</t>
  </si>
  <si>
    <t>InSight: Enabling NLOS Classification, Error Correction, and Anchor Selection on Resource-Constrained UWB Devices</t>
  </si>
  <si>
    <t>6LoRa: Full Stack IPv6 Networking with DSME-LoRa on Low Power IoT Nodes</t>
  </si>
  <si>
    <t>AIRISC - A mmWave Angle-Insensitive Reconfigurable Intelligent Surface Communication System</t>
  </si>
  <si>
    <t xml:space="preserve"> France</t>
  </si>
  <si>
    <t>A battery-free wearable system for on-device human activity recognition using kinetic energy harvesting</t>
  </si>
  <si>
    <t>Recovering Headerless Frames in LR-FHSS</t>
  </si>
  <si>
    <t>France</t>
  </si>
  <si>
    <t>ALADIn: Autonomous Linear Antenna Delay Inference on Resource-Constrained Ultra-Wideband Devices</t>
  </si>
  <si>
    <t>Robust Human Detection under Visual Degradation via Thermal and mmWave Radar Fusion</t>
  </si>
  <si>
    <t>Supporting the Adaptive Deployment of Modular Applications in Cloud-Edge-Mobile Systems</t>
  </si>
  <si>
    <t>Routing in Scalable Delay-Tolerant Space Networks with Graph Neural Networks</t>
  </si>
  <si>
    <t>Argentina</t>
  </si>
  <si>
    <t>Demos: Robust Orchestration for Autonomous Networking</t>
  </si>
  <si>
    <t>EmbientLoRa: Embedded Intelligence for Predictive Energy Harvesting and Management in LoRa Networks</t>
  </si>
  <si>
    <t xml:space="preserve"> Hong Kong</t>
  </si>
  <si>
    <t>Black carbon proxy sensor model for air quality IoT monitoring networks</t>
  </si>
  <si>
    <t>A Review on Machine Learning for Thermal Comfort and Energy Efficiency in Smart Buildings</t>
  </si>
  <si>
    <t>Efficient Interference Graph Estimation via Concurrent Flooding</t>
  </si>
  <si>
    <t>BISON: Attacking Bluetooth’s Broadcast Isochronous Streams</t>
  </si>
  <si>
    <t>Hardening and Speeding Up Zero-interaction Pairing and Authentication</t>
  </si>
  <si>
    <t>A Game-Theoretic Approach for Mitigating Jamming Attacks in LPWAN</t>
  </si>
  <si>
    <t>Work-in-Progress: Age of Information-Aware CACC for Vehicle Platooning*</t>
  </si>
  <si>
    <t>Connected Solar Boat for C-ITS Applications</t>
  </si>
  <si>
    <t>A Role-based Trust Model assessing IoA services: First Results on Real MAS Implementation by using ROS 2</t>
  </si>
  <si>
    <t>FADED: FAult DEtection and Diagnostic
System for HVAC Sensors in Commercial Buildings</t>
  </si>
  <si>
    <t>AdaTM: Logic Inspired Adaptive Tsetlin Machines for Efficient
and Effective Continual Learning on the Edge</t>
  </si>
  <si>
    <t>I Still See You: Why Existing IoT Tra!ic Reshaping Fails</t>
  </si>
  <si>
    <t>Antler: Exploiting Task Affinity for Efficient Multitask Learning on Low-Resource Systems</t>
  </si>
  <si>
    <t>Sunlight-Duo: Exploiting Sunlight for Simultaneous Energy
Harvesting &amp; Communication</t>
  </si>
  <si>
    <t>FedReG: Recouping the Global Model in
Personalized Federated Learning</t>
  </si>
  <si>
    <t>Concise Paper: Towards On-board Radiometric
Fingerprinting Fully Integrated on an Embedded System</t>
  </si>
  <si>
    <t>Memory-efficient Energy-adaptive Inference of Pre-Trained Models on Batteryless Embedded Systems</t>
  </si>
  <si>
    <t>CaIN: Low Power and Low Latency VHF Mesh Networking</t>
  </si>
  <si>
    <t>WiP Paper: BUSted Second Stop! A First Step for Breaking Cryptographic Applications on MCU-based IoT Devices</t>
  </si>
  <si>
    <t>Configuring Industrial Wireless Mesh Networks via Multi-Source Domain Adaptation</t>
  </si>
  <si>
    <t>RFinder: Pinpoint the Invisible RFID Tags in the
Prefabricated Buildings</t>
  </si>
  <si>
    <t>A Novel Platform to Teach Wireless Communication to Children and Teenagers</t>
  </si>
  <si>
    <t>Feasibility of Radio Frequency Based Wireless Sensing of Lead Contamination in Soil</t>
  </si>
  <si>
    <t>GreenPipe: Energy-Efficient Data-Processing Pipelines for Resource-Constrained Systems</t>
  </si>
  <si>
    <t>WiP paper: UWB-based Integrated Sensing and Communication (ISAC) for Robotic Applications</t>
  </si>
  <si>
    <t>Explaining the Difference Between Edge Models and High-Accuracy Base Models for Vision Tasks</t>
  </si>
  <si>
    <t>VoiceDirect: mmWave and Audio Signal Fusion for User Localization and Speaking Direction Estimation</t>
  </si>
  <si>
    <t>Vision Paper: LoRa on Ice - Live sea ice monitoring using IoT technologies</t>
  </si>
  <si>
    <t>Vision Paper: Computing behind Transparent Screen</t>
  </si>
  <si>
    <t xml:space="preserve"> Netherlands</t>
  </si>
  <si>
    <t>One paper has 9 citations.</t>
  </si>
  <si>
    <t>Only 2 papers has citiations.</t>
  </si>
  <si>
    <t>Only 4 papers has citiations.</t>
  </si>
  <si>
    <t>Total</t>
  </si>
  <si>
    <t>Country based author diversity</t>
  </si>
  <si>
    <t xml:space="preserve">Citation Impact Score </t>
  </si>
  <si>
    <t>Diversity Score</t>
  </si>
  <si>
    <t>Reference Quality Score</t>
  </si>
  <si>
    <t>Collaboration Score</t>
  </si>
  <si>
    <t>Visual Communication Score</t>
  </si>
  <si>
    <t>Avergae Citations</t>
  </si>
  <si>
    <t>Average Reference</t>
  </si>
  <si>
    <t xml:space="preserve">Average Authors </t>
  </si>
  <si>
    <t>Average of Graphs plus Tables</t>
  </si>
  <si>
    <t>No. of Graphs plus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</si>
</sst>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109/WF-IoT58464.2023.10539587" TargetMode="External"/><Relationship Id="rId18" Type="http://schemas.openxmlformats.org/officeDocument/2006/relationships/hyperlink" Target="https://doi.org/10.1109/DCOSS-IoT58021.2023.00067" TargetMode="External"/><Relationship Id="rId26" Type="http://schemas.openxmlformats.org/officeDocument/2006/relationships/hyperlink" Target="https://dl.acm.org/doi/10.1145/3666025.3699328" TargetMode="External"/><Relationship Id="rId3" Type="http://schemas.openxmlformats.org/officeDocument/2006/relationships/hyperlink" Target="https://doi.org/10.1145/3625078.3625087" TargetMode="External"/><Relationship Id="rId21" Type="http://schemas.openxmlformats.org/officeDocument/2006/relationships/hyperlink" Target="https://doi.org/10.1109/DCOSS-IoT58021.2023.00039" TargetMode="External"/><Relationship Id="rId34" Type="http://schemas.openxmlformats.org/officeDocument/2006/relationships/hyperlink" Target="https://doi.org/10.1109/WF-IoT62078.2024.10811380" TargetMode="External"/><Relationship Id="rId7" Type="http://schemas.openxmlformats.org/officeDocument/2006/relationships/hyperlink" Target="https://doi.org/10.1109/IOTSMS59855.2023.10325689" TargetMode="External"/><Relationship Id="rId12" Type="http://schemas.openxmlformats.org/officeDocument/2006/relationships/hyperlink" Target="https://doi.org/10.1109/WF-IoT58464.2023.10539505" TargetMode="External"/><Relationship Id="rId17" Type="http://schemas.openxmlformats.org/officeDocument/2006/relationships/hyperlink" Target="https://doi.org/10.1109/WF-IoT58464.2023.10539546" TargetMode="External"/><Relationship Id="rId25" Type="http://schemas.openxmlformats.org/officeDocument/2006/relationships/hyperlink" Target="https://dl.acm.org/doi/10.1145/3666025.3699327" TargetMode="External"/><Relationship Id="rId33" Type="http://schemas.openxmlformats.org/officeDocument/2006/relationships/hyperlink" Target="https://dl.acm.org/doi/10.1145/3666025.3699335" TargetMode="External"/><Relationship Id="rId2" Type="http://schemas.openxmlformats.org/officeDocument/2006/relationships/hyperlink" Target="https://doi.org/10.1145/3625078.3625085" TargetMode="External"/><Relationship Id="rId16" Type="http://schemas.openxmlformats.org/officeDocument/2006/relationships/hyperlink" Target="https://doi.org/10.1109/WF-IoT58464.2023.10539597" TargetMode="External"/><Relationship Id="rId20" Type="http://schemas.openxmlformats.org/officeDocument/2006/relationships/hyperlink" Target="https://doi.org/10.1109/DCOSS-IoT58021.2023.00110" TargetMode="External"/><Relationship Id="rId29" Type="http://schemas.openxmlformats.org/officeDocument/2006/relationships/hyperlink" Target="https://dl.acm.org/doi/10.1145/3666025.3699331" TargetMode="External"/><Relationship Id="rId1" Type="http://schemas.openxmlformats.org/officeDocument/2006/relationships/hyperlink" Target="https://doi.org/10.1145/3625078.3625084" TargetMode="External"/><Relationship Id="rId6" Type="http://schemas.openxmlformats.org/officeDocument/2006/relationships/hyperlink" Target="https://doi.org/10.1109/IOTSMS59855.2023.10325714" TargetMode="External"/><Relationship Id="rId11" Type="http://schemas.openxmlformats.org/officeDocument/2006/relationships/hyperlink" Target="https://doi.org/10.5220/0011822700003482" TargetMode="External"/><Relationship Id="rId24" Type="http://schemas.openxmlformats.org/officeDocument/2006/relationships/hyperlink" Target="https://dl.acm.org/doi/10.1145/3666025.3699326" TargetMode="External"/><Relationship Id="rId32" Type="http://schemas.openxmlformats.org/officeDocument/2006/relationships/hyperlink" Target="https://dl.acm.org/doi/10.1145/3666025.3699334" TargetMode="External"/><Relationship Id="rId5" Type="http://schemas.openxmlformats.org/officeDocument/2006/relationships/hyperlink" Target="https://doi.org/10.1109/IOTSMS59855.2023.10325763" TargetMode="External"/><Relationship Id="rId15" Type="http://schemas.openxmlformats.org/officeDocument/2006/relationships/hyperlink" Target="https://doi.org/10.1109/WF-IoT58464.2023.10539484" TargetMode="External"/><Relationship Id="rId23" Type="http://schemas.openxmlformats.org/officeDocument/2006/relationships/hyperlink" Target="https://doi.org/10.1109/DCOSS-IoT58021.2023.00074" TargetMode="External"/><Relationship Id="rId28" Type="http://schemas.openxmlformats.org/officeDocument/2006/relationships/hyperlink" Target="https://dl.acm.org/doi/10.1145/3666025.3699330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doi.org/10.1109/IOTSMS59855.2023.10325824" TargetMode="External"/><Relationship Id="rId19" Type="http://schemas.openxmlformats.org/officeDocument/2006/relationships/hyperlink" Target="https://doi.org/10.1109/DCOSS-IoT58021.2023.00042" TargetMode="External"/><Relationship Id="rId31" Type="http://schemas.openxmlformats.org/officeDocument/2006/relationships/hyperlink" Target="https://dl.acm.org/doi/10.1145/3666025.3699333" TargetMode="External"/><Relationship Id="rId4" Type="http://schemas.openxmlformats.org/officeDocument/2006/relationships/hyperlink" Target="https://doi.org/10.1145/3625078.3625088" TargetMode="External"/><Relationship Id="rId9" Type="http://schemas.openxmlformats.org/officeDocument/2006/relationships/hyperlink" Target="https://doi.org/10.1109/IOTSMS59855.2023.10325803" TargetMode="External"/><Relationship Id="rId14" Type="http://schemas.openxmlformats.org/officeDocument/2006/relationships/hyperlink" Target="https://doi.org/10.1109/WF-IoT58464.2023.10539550" TargetMode="External"/><Relationship Id="rId22" Type="http://schemas.openxmlformats.org/officeDocument/2006/relationships/hyperlink" Target="https://doi.org/10.1109/DCOSS-IoT58021.2023.00094" TargetMode="External"/><Relationship Id="rId27" Type="http://schemas.openxmlformats.org/officeDocument/2006/relationships/hyperlink" Target="https://dl.acm.org/doi/10.1145/3666025.3699329" TargetMode="External"/><Relationship Id="rId30" Type="http://schemas.openxmlformats.org/officeDocument/2006/relationships/hyperlink" Target="https://dl.acm.org/doi/10.1145/3666025.3699332" TargetMode="External"/><Relationship Id="rId35" Type="http://schemas.openxmlformats.org/officeDocument/2006/relationships/hyperlink" Target="https://doi.org/10.1007/978-3-031-77003-6_1" TargetMode="External"/><Relationship Id="rId8" Type="http://schemas.openxmlformats.org/officeDocument/2006/relationships/hyperlink" Target="https://doi.org/10.1109/IOTSMS59855.2023.103257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53"/>
  <sheetViews>
    <sheetView topLeftCell="B1" workbookViewId="0">
      <selection activeCell="H1" sqref="H1"/>
    </sheetView>
  </sheetViews>
  <sheetFormatPr defaultRowHeight="53.15" customHeight="1" x14ac:dyDescent="0.35"/>
  <cols>
    <col min="1" max="1" width="40.1796875" customWidth="1"/>
    <col min="2" max="2" width="15.81640625" customWidth="1"/>
    <col min="3" max="3" width="15" customWidth="1"/>
    <col min="4" max="4" width="13.54296875" customWidth="1"/>
    <col min="5" max="5" width="17.1796875" customWidth="1"/>
    <col min="6" max="6" width="21.453125" customWidth="1"/>
    <col min="7" max="7" width="19.54296875" customWidth="1"/>
    <col min="8" max="8" width="15.81640625" customWidth="1"/>
    <col min="9" max="9" width="11.81640625" customWidth="1"/>
    <col min="10" max="10" width="20.453125" customWidth="1"/>
    <col min="11" max="11" width="33.1796875" bestFit="1" customWidth="1"/>
  </cols>
  <sheetData>
    <row r="1" spans="1:11" ht="53.15" customHeight="1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3.15" hidden="1" customHeight="1" x14ac:dyDescent="0.35">
      <c r="A2" s="4" t="s">
        <v>11</v>
      </c>
      <c r="B2" s="4" t="s">
        <v>12</v>
      </c>
      <c r="C2" s="4">
        <v>2023</v>
      </c>
      <c r="D2" s="4" t="s">
        <v>13</v>
      </c>
      <c r="E2" s="4">
        <v>3</v>
      </c>
      <c r="F2" s="4" t="s">
        <v>14</v>
      </c>
      <c r="G2" s="4">
        <v>49</v>
      </c>
      <c r="H2" s="4">
        <v>3</v>
      </c>
      <c r="I2" s="4">
        <v>2</v>
      </c>
      <c r="J2" s="4">
        <v>1</v>
      </c>
      <c r="K2" s="1" t="s">
        <v>15</v>
      </c>
    </row>
    <row r="3" spans="1:11" ht="53.15" hidden="1" customHeight="1" x14ac:dyDescent="0.35">
      <c r="A3" s="4" t="s">
        <v>16</v>
      </c>
      <c r="B3" s="4" t="s">
        <v>12</v>
      </c>
      <c r="C3" s="4">
        <v>2023</v>
      </c>
      <c r="D3" s="4" t="s">
        <v>13</v>
      </c>
      <c r="E3" s="4">
        <v>3</v>
      </c>
      <c r="F3" s="4" t="s">
        <v>17</v>
      </c>
      <c r="G3" s="4">
        <v>21</v>
      </c>
      <c r="H3" s="4">
        <v>1</v>
      </c>
      <c r="I3" s="4">
        <v>0</v>
      </c>
      <c r="J3" s="4">
        <v>5</v>
      </c>
      <c r="K3" s="1" t="s">
        <v>18</v>
      </c>
    </row>
    <row r="4" spans="1:11" ht="53.15" hidden="1" customHeight="1" x14ac:dyDescent="0.35">
      <c r="A4" s="4" t="s">
        <v>19</v>
      </c>
      <c r="B4" s="4" t="s">
        <v>12</v>
      </c>
      <c r="C4" s="4">
        <v>2023</v>
      </c>
      <c r="D4" s="4" t="s">
        <v>13</v>
      </c>
      <c r="E4" s="4">
        <v>2</v>
      </c>
      <c r="F4" s="4" t="s">
        <v>13</v>
      </c>
      <c r="G4" s="4">
        <v>14</v>
      </c>
      <c r="H4" s="4">
        <v>7</v>
      </c>
      <c r="I4" s="4">
        <v>3</v>
      </c>
      <c r="J4" s="4">
        <v>3</v>
      </c>
      <c r="K4" s="1" t="s">
        <v>20</v>
      </c>
    </row>
    <row r="5" spans="1:11" ht="53.15" hidden="1" customHeight="1" x14ac:dyDescent="0.35">
      <c r="A5" s="4" t="s">
        <v>21</v>
      </c>
      <c r="B5" s="4" t="s">
        <v>12</v>
      </c>
      <c r="C5" s="4">
        <v>2023</v>
      </c>
      <c r="D5" s="4" t="s">
        <v>13</v>
      </c>
      <c r="E5" s="4">
        <v>5</v>
      </c>
      <c r="F5" s="4" t="s">
        <v>22</v>
      </c>
      <c r="G5" s="4">
        <v>15</v>
      </c>
      <c r="H5" s="4">
        <v>1</v>
      </c>
      <c r="I5" s="4">
        <v>2</v>
      </c>
      <c r="J5" s="4">
        <v>5</v>
      </c>
      <c r="K5" s="1" t="s">
        <v>23</v>
      </c>
    </row>
    <row r="6" spans="1:11" ht="53.15" hidden="1" customHeight="1" x14ac:dyDescent="0.35">
      <c r="A6" s="4" t="s">
        <v>24</v>
      </c>
      <c r="B6" s="4" t="s">
        <v>12</v>
      </c>
      <c r="C6" s="4">
        <v>2023</v>
      </c>
      <c r="D6" s="4" t="s">
        <v>13</v>
      </c>
      <c r="E6" s="4">
        <v>4</v>
      </c>
      <c r="F6" s="4" t="s">
        <v>25</v>
      </c>
      <c r="G6" s="4">
        <v>13</v>
      </c>
      <c r="H6" s="4">
        <v>0</v>
      </c>
      <c r="I6" s="4">
        <v>1</v>
      </c>
      <c r="J6" s="4">
        <v>4</v>
      </c>
      <c r="K6" s="1" t="s">
        <v>26</v>
      </c>
    </row>
    <row r="7" spans="1:11" ht="53.15" hidden="1" customHeight="1" x14ac:dyDescent="0.35">
      <c r="A7" s="4" t="s">
        <v>27</v>
      </c>
      <c r="B7" s="4" t="s">
        <v>12</v>
      </c>
      <c r="C7" s="4">
        <v>2023</v>
      </c>
      <c r="D7" s="4" t="s">
        <v>13</v>
      </c>
      <c r="E7" s="4">
        <v>1</v>
      </c>
      <c r="F7" s="4" t="s">
        <v>14</v>
      </c>
      <c r="G7" s="4">
        <v>11</v>
      </c>
      <c r="H7" s="4">
        <v>0</v>
      </c>
      <c r="I7" s="4">
        <v>4</v>
      </c>
      <c r="J7" s="4">
        <v>2</v>
      </c>
      <c r="K7" s="1" t="s">
        <v>29</v>
      </c>
    </row>
    <row r="8" spans="1:11" ht="53.15" hidden="1" customHeight="1" x14ac:dyDescent="0.35">
      <c r="A8" s="4" t="s">
        <v>30</v>
      </c>
      <c r="B8" s="4" t="s">
        <v>31</v>
      </c>
      <c r="C8" s="4">
        <v>2023</v>
      </c>
      <c r="D8" s="4" t="s">
        <v>17</v>
      </c>
      <c r="E8" s="4">
        <v>5</v>
      </c>
      <c r="F8" s="4" t="s">
        <v>32</v>
      </c>
      <c r="G8" s="4">
        <v>18</v>
      </c>
      <c r="H8" s="4">
        <v>1</v>
      </c>
      <c r="I8" s="4">
        <v>1</v>
      </c>
      <c r="J8" s="4">
        <v>4</v>
      </c>
      <c r="K8" s="1" t="s">
        <v>33</v>
      </c>
    </row>
    <row r="9" spans="1:11" ht="53.15" hidden="1" customHeight="1" x14ac:dyDescent="0.35">
      <c r="A9" s="4" t="s">
        <v>34</v>
      </c>
      <c r="B9" s="4" t="s">
        <v>31</v>
      </c>
      <c r="C9" s="4">
        <v>2023</v>
      </c>
      <c r="D9" s="4" t="s">
        <v>17</v>
      </c>
      <c r="E9" s="4">
        <v>2</v>
      </c>
      <c r="F9" s="4" t="s">
        <v>17</v>
      </c>
      <c r="G9" s="4">
        <v>31</v>
      </c>
      <c r="H9" s="4">
        <v>2</v>
      </c>
      <c r="I9" s="4">
        <v>0</v>
      </c>
      <c r="J9" s="4">
        <v>6</v>
      </c>
      <c r="K9" s="1" t="s">
        <v>35</v>
      </c>
    </row>
    <row r="10" spans="1:11" ht="53.15" hidden="1" customHeight="1" x14ac:dyDescent="0.35">
      <c r="A10" s="4" t="s">
        <v>36</v>
      </c>
      <c r="B10" s="4" t="s">
        <v>31</v>
      </c>
      <c r="C10" s="4">
        <v>2023</v>
      </c>
      <c r="D10" s="4" t="s">
        <v>17</v>
      </c>
      <c r="E10" s="4">
        <v>1</v>
      </c>
      <c r="F10" s="4" t="s">
        <v>37</v>
      </c>
      <c r="G10" s="4">
        <v>43</v>
      </c>
      <c r="H10" s="4">
        <v>1</v>
      </c>
      <c r="I10" s="4">
        <v>3</v>
      </c>
      <c r="J10" s="4">
        <v>9</v>
      </c>
      <c r="K10" s="1" t="s">
        <v>38</v>
      </c>
    </row>
    <row r="11" spans="1:11" ht="53.15" hidden="1" customHeight="1" x14ac:dyDescent="0.35">
      <c r="A11" s="4" t="s">
        <v>39</v>
      </c>
      <c r="B11" s="4" t="s">
        <v>31</v>
      </c>
      <c r="C11" s="4">
        <v>2023</v>
      </c>
      <c r="D11" s="4" t="s">
        <v>17</v>
      </c>
      <c r="E11" s="4">
        <v>4</v>
      </c>
      <c r="F11" s="4" t="s">
        <v>22</v>
      </c>
      <c r="G11" s="4">
        <v>14</v>
      </c>
      <c r="H11" s="4">
        <v>0</v>
      </c>
      <c r="I11" s="4">
        <v>1</v>
      </c>
      <c r="J11" s="4">
        <v>11</v>
      </c>
      <c r="K11" s="1" t="s">
        <v>40</v>
      </c>
    </row>
    <row r="12" spans="1:11" ht="53.15" hidden="1" customHeight="1" x14ac:dyDescent="0.35">
      <c r="A12" s="4" t="s">
        <v>41</v>
      </c>
      <c r="B12" s="4" t="s">
        <v>31</v>
      </c>
      <c r="C12" s="4">
        <v>2023</v>
      </c>
      <c r="D12" s="4" t="s">
        <v>17</v>
      </c>
      <c r="E12" s="4">
        <v>4</v>
      </c>
      <c r="F12" s="4" t="s">
        <v>42</v>
      </c>
      <c r="G12" s="4">
        <v>33</v>
      </c>
      <c r="H12" s="4">
        <v>1</v>
      </c>
      <c r="I12" s="4">
        <v>0</v>
      </c>
      <c r="J12" s="4">
        <v>3</v>
      </c>
      <c r="K12" s="1" t="s">
        <v>43</v>
      </c>
    </row>
    <row r="13" spans="1:11" ht="53.15" hidden="1" customHeight="1" x14ac:dyDescent="0.35">
      <c r="A13" s="4" t="s">
        <v>44</v>
      </c>
      <c r="B13" s="4" t="s">
        <v>31</v>
      </c>
      <c r="C13" s="4">
        <v>2023</v>
      </c>
      <c r="D13" s="4" t="s">
        <v>17</v>
      </c>
      <c r="E13" s="4">
        <v>1</v>
      </c>
      <c r="F13" s="4" t="s">
        <v>17</v>
      </c>
      <c r="G13" s="4">
        <v>63</v>
      </c>
      <c r="H13" s="4">
        <v>0</v>
      </c>
      <c r="I13" s="4">
        <v>2</v>
      </c>
      <c r="J13" s="4">
        <v>0</v>
      </c>
      <c r="K13" s="1" t="s">
        <v>45</v>
      </c>
    </row>
    <row r="14" spans="1:11" ht="53.15" hidden="1" customHeight="1" x14ac:dyDescent="0.35">
      <c r="A14" s="4" t="s">
        <v>46</v>
      </c>
      <c r="B14" s="4" t="s">
        <v>47</v>
      </c>
      <c r="C14" s="4">
        <v>2023</v>
      </c>
      <c r="D14" s="4" t="s">
        <v>48</v>
      </c>
      <c r="E14" s="4">
        <v>5</v>
      </c>
      <c r="F14" s="4" t="s">
        <v>17</v>
      </c>
      <c r="G14" s="4">
        <v>46</v>
      </c>
      <c r="H14" s="4">
        <v>0</v>
      </c>
      <c r="I14" s="4">
        <v>1</v>
      </c>
      <c r="J14" s="4">
        <v>9</v>
      </c>
      <c r="K14" s="1" t="s">
        <v>49</v>
      </c>
    </row>
    <row r="15" spans="1:11" ht="53.15" hidden="1" customHeight="1" x14ac:dyDescent="0.35">
      <c r="A15" s="4" t="s">
        <v>50</v>
      </c>
      <c r="B15" s="4" t="s">
        <v>47</v>
      </c>
      <c r="C15" s="4">
        <v>2023</v>
      </c>
      <c r="D15" s="4" t="s">
        <v>48</v>
      </c>
      <c r="E15" s="4">
        <v>3</v>
      </c>
      <c r="F15" s="4" t="s">
        <v>51</v>
      </c>
      <c r="G15" s="4">
        <v>78</v>
      </c>
      <c r="H15" s="4">
        <v>0</v>
      </c>
      <c r="I15" s="4">
        <v>2</v>
      </c>
      <c r="J15" s="4">
        <v>2</v>
      </c>
      <c r="K15" s="1" t="s">
        <v>52</v>
      </c>
    </row>
    <row r="16" spans="1:11" ht="53.15" hidden="1" customHeight="1" x14ac:dyDescent="0.35">
      <c r="A16" s="4" t="s">
        <v>53</v>
      </c>
      <c r="B16" s="4" t="s">
        <v>47</v>
      </c>
      <c r="C16" s="4">
        <v>2023</v>
      </c>
      <c r="D16" s="4" t="s">
        <v>48</v>
      </c>
      <c r="E16" s="4">
        <v>4</v>
      </c>
      <c r="F16" s="4" t="s">
        <v>32</v>
      </c>
      <c r="G16" s="4">
        <v>43</v>
      </c>
      <c r="H16" s="4">
        <v>2</v>
      </c>
      <c r="I16" s="4">
        <v>5</v>
      </c>
      <c r="J16" s="4">
        <v>2</v>
      </c>
      <c r="K16" s="1" t="s">
        <v>54</v>
      </c>
    </row>
    <row r="17" spans="1:11" ht="53.15" hidden="1" customHeight="1" x14ac:dyDescent="0.35">
      <c r="A17" s="4" t="s">
        <v>55</v>
      </c>
      <c r="B17" s="4" t="s">
        <v>47</v>
      </c>
      <c r="C17" s="4">
        <v>2023</v>
      </c>
      <c r="D17" s="4" t="s">
        <v>48</v>
      </c>
      <c r="E17" s="4">
        <v>1</v>
      </c>
      <c r="F17" s="4" t="s">
        <v>56</v>
      </c>
      <c r="G17" s="4">
        <v>40</v>
      </c>
      <c r="H17" s="4">
        <v>0</v>
      </c>
      <c r="I17" s="4">
        <v>0</v>
      </c>
      <c r="J17" s="4">
        <v>0</v>
      </c>
      <c r="K17" s="1" t="s">
        <v>57</v>
      </c>
    </row>
    <row r="18" spans="1:11" ht="53.15" hidden="1" customHeight="1" x14ac:dyDescent="0.35">
      <c r="A18" s="4" t="s">
        <v>58</v>
      </c>
      <c r="B18" s="4" t="s">
        <v>47</v>
      </c>
      <c r="C18" s="4">
        <v>2023</v>
      </c>
      <c r="D18" s="4" t="s">
        <v>48</v>
      </c>
      <c r="E18" s="4">
        <v>2</v>
      </c>
      <c r="F18" s="4" t="s">
        <v>59</v>
      </c>
      <c r="G18" s="4">
        <v>21</v>
      </c>
      <c r="H18" s="4">
        <v>0</v>
      </c>
      <c r="I18" s="4">
        <v>0</v>
      </c>
      <c r="J18" s="4">
        <v>4</v>
      </c>
      <c r="K18" s="1" t="s">
        <v>60</v>
      </c>
    </row>
    <row r="19" spans="1:11" ht="53.15" hidden="1" customHeight="1" x14ac:dyDescent="0.35">
      <c r="A19" s="4" t="s">
        <v>61</v>
      </c>
      <c r="B19" s="4" t="s">
        <v>47</v>
      </c>
      <c r="C19" s="4">
        <v>2023</v>
      </c>
      <c r="D19" s="4" t="s">
        <v>48</v>
      </c>
      <c r="E19" s="4">
        <v>4</v>
      </c>
      <c r="F19" s="4" t="s">
        <v>32</v>
      </c>
      <c r="G19" s="4">
        <v>13</v>
      </c>
      <c r="H19" s="4">
        <v>2</v>
      </c>
      <c r="I19" s="4">
        <v>3</v>
      </c>
      <c r="J19" s="4">
        <v>1</v>
      </c>
      <c r="K19" s="1" t="s">
        <v>62</v>
      </c>
    </row>
    <row r="20" spans="1:11" ht="53.15" hidden="1" customHeight="1" x14ac:dyDescent="0.35">
      <c r="A20" s="4" t="s">
        <v>63</v>
      </c>
      <c r="B20" s="4" t="s">
        <v>64</v>
      </c>
      <c r="C20" s="4">
        <v>2023</v>
      </c>
      <c r="D20" s="4" t="s">
        <v>65</v>
      </c>
      <c r="E20" s="4">
        <v>5</v>
      </c>
      <c r="F20" s="4" t="s">
        <v>66</v>
      </c>
      <c r="G20" s="4">
        <v>23</v>
      </c>
      <c r="H20" s="4">
        <v>0</v>
      </c>
      <c r="I20" s="4">
        <v>2</v>
      </c>
      <c r="J20" s="4">
        <v>5</v>
      </c>
      <c r="K20" s="1" t="s">
        <v>67</v>
      </c>
    </row>
    <row r="21" spans="1:11" ht="53.15" hidden="1" customHeight="1" x14ac:dyDescent="0.35">
      <c r="A21" s="4" t="s">
        <v>68</v>
      </c>
      <c r="B21" s="4" t="s">
        <v>64</v>
      </c>
      <c r="C21" s="4">
        <v>2023</v>
      </c>
      <c r="D21" s="4" t="s">
        <v>65</v>
      </c>
      <c r="E21" s="4">
        <v>2</v>
      </c>
      <c r="F21" s="4" t="s">
        <v>69</v>
      </c>
      <c r="G21" s="4">
        <v>37</v>
      </c>
      <c r="H21" s="4">
        <v>1</v>
      </c>
      <c r="I21" s="4">
        <v>8</v>
      </c>
      <c r="J21" s="4">
        <v>13</v>
      </c>
      <c r="K21" s="1" t="s">
        <v>70</v>
      </c>
    </row>
    <row r="22" spans="1:11" ht="53.15" hidden="1" customHeight="1" x14ac:dyDescent="0.35">
      <c r="A22" s="5" t="s">
        <v>71</v>
      </c>
      <c r="B22" s="4" t="s">
        <v>64</v>
      </c>
      <c r="C22" s="4">
        <v>2023</v>
      </c>
      <c r="D22" s="4" t="s">
        <v>65</v>
      </c>
      <c r="E22" s="4">
        <v>8</v>
      </c>
      <c r="F22" s="4" t="s">
        <v>66</v>
      </c>
      <c r="G22" s="4">
        <v>51</v>
      </c>
      <c r="H22" s="4">
        <v>3</v>
      </c>
      <c r="I22" s="4">
        <v>3</v>
      </c>
      <c r="J22" s="4">
        <v>7</v>
      </c>
      <c r="K22" s="1" t="s">
        <v>72</v>
      </c>
    </row>
    <row r="23" spans="1:11" ht="53.15" hidden="1" customHeight="1" x14ac:dyDescent="0.35">
      <c r="A23" s="4" t="s">
        <v>73</v>
      </c>
      <c r="B23" s="4" t="s">
        <v>64</v>
      </c>
      <c r="C23" s="4">
        <v>2023</v>
      </c>
      <c r="D23" s="4" t="s">
        <v>65</v>
      </c>
      <c r="E23" s="4">
        <v>4</v>
      </c>
      <c r="F23" s="4" t="s">
        <v>74</v>
      </c>
      <c r="G23" s="4">
        <v>14</v>
      </c>
      <c r="H23" s="4">
        <v>2</v>
      </c>
      <c r="I23" s="4">
        <v>3</v>
      </c>
      <c r="J23" s="4">
        <v>8</v>
      </c>
      <c r="K23" s="1" t="s">
        <v>75</v>
      </c>
    </row>
    <row r="24" spans="1:11" ht="53.15" hidden="1" customHeight="1" x14ac:dyDescent="0.35">
      <c r="A24" s="4" t="s">
        <v>76</v>
      </c>
      <c r="B24" s="4" t="s">
        <v>64</v>
      </c>
      <c r="C24" s="4">
        <v>2023</v>
      </c>
      <c r="D24" s="4" t="s">
        <v>65</v>
      </c>
      <c r="E24" s="4">
        <v>3</v>
      </c>
      <c r="F24" s="4" t="s">
        <v>77</v>
      </c>
      <c r="G24" s="4">
        <v>39</v>
      </c>
      <c r="H24" s="4">
        <v>0</v>
      </c>
      <c r="I24" s="4">
        <v>3</v>
      </c>
      <c r="J24" s="4">
        <v>4</v>
      </c>
      <c r="K24" s="1" t="s">
        <v>78</v>
      </c>
    </row>
    <row r="25" spans="1:11" ht="53.15" hidden="1" customHeight="1" x14ac:dyDescent="0.35">
      <c r="A25" s="4" t="s">
        <v>79</v>
      </c>
      <c r="B25" s="4" t="s">
        <v>64</v>
      </c>
      <c r="C25" s="4">
        <v>2023</v>
      </c>
      <c r="D25" s="4" t="s">
        <v>65</v>
      </c>
      <c r="E25" s="4">
        <v>5</v>
      </c>
      <c r="F25" s="4" t="s">
        <v>66</v>
      </c>
      <c r="G25" s="4">
        <v>37</v>
      </c>
      <c r="H25" s="4">
        <v>5</v>
      </c>
      <c r="I25" s="4">
        <v>2</v>
      </c>
      <c r="J25" s="4">
        <v>5</v>
      </c>
      <c r="K25" s="1" t="s">
        <v>80</v>
      </c>
    </row>
    <row r="26" spans="1:11" ht="53.15" hidden="1" customHeight="1" x14ac:dyDescent="0.35">
      <c r="A26" s="4" t="s">
        <v>81</v>
      </c>
      <c r="B26" s="4" t="s">
        <v>82</v>
      </c>
      <c r="C26" s="4">
        <v>2023</v>
      </c>
      <c r="D26" s="4" t="s">
        <v>17</v>
      </c>
      <c r="E26" s="4">
        <v>2</v>
      </c>
      <c r="F26" s="4" t="s">
        <v>17</v>
      </c>
      <c r="G26" s="4">
        <v>56</v>
      </c>
      <c r="H26" s="4">
        <v>0</v>
      </c>
      <c r="I26" s="4">
        <v>0</v>
      </c>
      <c r="J26" s="4">
        <v>3</v>
      </c>
      <c r="K26" s="1" t="s">
        <v>83</v>
      </c>
    </row>
    <row r="27" spans="1:11" ht="53.15" hidden="1" customHeight="1" x14ac:dyDescent="0.35">
      <c r="A27" s="4" t="s">
        <v>84</v>
      </c>
      <c r="B27" s="4" t="s">
        <v>82</v>
      </c>
      <c r="C27" s="4">
        <v>2023</v>
      </c>
      <c r="D27" s="4" t="s">
        <v>17</v>
      </c>
      <c r="E27" s="4">
        <v>3</v>
      </c>
      <c r="F27" s="4" t="s">
        <v>17</v>
      </c>
      <c r="G27" s="4">
        <v>23</v>
      </c>
      <c r="H27" s="4">
        <v>7</v>
      </c>
      <c r="I27" s="4">
        <v>1</v>
      </c>
      <c r="J27" s="4">
        <v>5</v>
      </c>
      <c r="K27" s="1" t="s">
        <v>85</v>
      </c>
    </row>
    <row r="28" spans="1:11" ht="53.15" hidden="1" customHeight="1" x14ac:dyDescent="0.35">
      <c r="A28" s="4" t="s">
        <v>86</v>
      </c>
      <c r="B28" s="4" t="s">
        <v>82</v>
      </c>
      <c r="C28" s="4">
        <v>2023</v>
      </c>
      <c r="D28" s="4" t="s">
        <v>17</v>
      </c>
      <c r="E28" s="4">
        <v>3</v>
      </c>
      <c r="F28" s="4" t="s">
        <v>59</v>
      </c>
      <c r="G28" s="4">
        <v>29</v>
      </c>
      <c r="H28" s="4">
        <v>1</v>
      </c>
      <c r="I28" s="4">
        <v>3</v>
      </c>
      <c r="J28" s="4">
        <v>5</v>
      </c>
      <c r="K28" s="1" t="s">
        <v>87</v>
      </c>
    </row>
    <row r="29" spans="1:11" ht="53.15" hidden="1" customHeight="1" x14ac:dyDescent="0.35">
      <c r="A29" s="4" t="s">
        <v>90</v>
      </c>
      <c r="B29" s="4" t="s">
        <v>82</v>
      </c>
      <c r="C29" s="4">
        <v>2023</v>
      </c>
      <c r="D29" s="4" t="s">
        <v>17</v>
      </c>
      <c r="E29" s="4">
        <v>3</v>
      </c>
      <c r="F29" s="4" t="s">
        <v>17</v>
      </c>
      <c r="G29" s="4">
        <v>26</v>
      </c>
      <c r="H29" s="4">
        <v>2</v>
      </c>
      <c r="I29" s="4">
        <v>2</v>
      </c>
      <c r="J29" s="4">
        <v>8</v>
      </c>
      <c r="K29" s="1" t="s">
        <v>91</v>
      </c>
    </row>
    <row r="30" spans="1:11" ht="53.15" hidden="1" customHeight="1" x14ac:dyDescent="0.35">
      <c r="A30" s="4" t="s">
        <v>106</v>
      </c>
      <c r="B30" s="4" t="s">
        <v>107</v>
      </c>
      <c r="C30" s="4">
        <v>2023</v>
      </c>
      <c r="D30" s="4" t="s">
        <v>17</v>
      </c>
      <c r="E30" s="4">
        <v>2</v>
      </c>
      <c r="F30" s="4" t="s">
        <v>17</v>
      </c>
      <c r="G30" s="4">
        <v>30</v>
      </c>
      <c r="H30" s="4">
        <v>2</v>
      </c>
      <c r="I30" s="4">
        <v>0</v>
      </c>
      <c r="J30" s="4">
        <v>8</v>
      </c>
      <c r="K30" s="1" t="s">
        <v>108</v>
      </c>
    </row>
    <row r="31" spans="1:11" ht="53.15" hidden="1" customHeight="1" x14ac:dyDescent="0.35">
      <c r="A31" s="4" t="s">
        <v>109</v>
      </c>
      <c r="B31" s="4" t="s">
        <v>107</v>
      </c>
      <c r="C31" s="4">
        <v>2023</v>
      </c>
      <c r="D31" s="4" t="s">
        <v>17</v>
      </c>
      <c r="E31" s="4">
        <v>4</v>
      </c>
      <c r="F31" s="4" t="s">
        <v>92</v>
      </c>
      <c r="G31" s="4">
        <v>16</v>
      </c>
      <c r="H31" s="4">
        <v>6</v>
      </c>
      <c r="I31" s="4">
        <v>1</v>
      </c>
      <c r="J31" s="4">
        <v>7</v>
      </c>
      <c r="K31" s="1" t="s">
        <v>93</v>
      </c>
    </row>
    <row r="32" spans="1:11" ht="53.15" hidden="1" customHeight="1" x14ac:dyDescent="0.35">
      <c r="A32" s="4" t="s">
        <v>88</v>
      </c>
      <c r="B32" s="4" t="s">
        <v>107</v>
      </c>
      <c r="C32" s="4">
        <v>2023</v>
      </c>
      <c r="D32" s="4" t="s">
        <v>17</v>
      </c>
      <c r="E32" s="4">
        <v>4</v>
      </c>
      <c r="F32" s="4" t="s">
        <v>17</v>
      </c>
      <c r="G32" s="4">
        <v>38</v>
      </c>
      <c r="H32" s="4">
        <v>7</v>
      </c>
      <c r="I32" s="4">
        <v>2</v>
      </c>
      <c r="J32" s="4">
        <v>3</v>
      </c>
      <c r="K32" s="1" t="s">
        <v>89</v>
      </c>
    </row>
    <row r="33" spans="1:11" ht="53.15" hidden="1" customHeight="1" x14ac:dyDescent="0.35">
      <c r="A33" s="4" t="s">
        <v>110</v>
      </c>
      <c r="B33" s="4" t="s">
        <v>107</v>
      </c>
      <c r="C33" s="4">
        <v>2023</v>
      </c>
      <c r="D33" s="4" t="s">
        <v>17</v>
      </c>
      <c r="E33" s="4">
        <v>4</v>
      </c>
      <c r="F33" s="4" t="s">
        <v>17</v>
      </c>
      <c r="G33" s="4">
        <v>30</v>
      </c>
      <c r="H33" s="4">
        <v>9</v>
      </c>
      <c r="I33" s="4">
        <v>3</v>
      </c>
      <c r="J33" s="4">
        <v>4</v>
      </c>
      <c r="K33" s="1" t="s">
        <v>111</v>
      </c>
    </row>
    <row r="34" spans="1:11" ht="53.15" hidden="1" customHeight="1" x14ac:dyDescent="0.35">
      <c r="A34" s="4" t="s">
        <v>112</v>
      </c>
      <c r="B34" s="4" t="s">
        <v>82</v>
      </c>
      <c r="C34" s="4">
        <v>2023</v>
      </c>
      <c r="D34" s="4" t="s">
        <v>17</v>
      </c>
      <c r="E34" s="4">
        <v>2</v>
      </c>
      <c r="F34" s="4" t="s">
        <v>17</v>
      </c>
      <c r="G34" s="4">
        <v>15</v>
      </c>
      <c r="H34" s="4">
        <v>3</v>
      </c>
      <c r="I34" s="4">
        <v>1</v>
      </c>
      <c r="J34" s="4">
        <v>5</v>
      </c>
      <c r="K34" s="1" t="s">
        <v>113</v>
      </c>
    </row>
    <row r="35" spans="1:11" ht="53.15" hidden="1" customHeight="1" x14ac:dyDescent="0.35">
      <c r="A35" s="4" t="s">
        <v>114</v>
      </c>
      <c r="B35" s="4" t="s">
        <v>82</v>
      </c>
      <c r="C35" s="4">
        <v>2023</v>
      </c>
      <c r="D35" s="4" t="s">
        <v>17</v>
      </c>
      <c r="E35" s="4">
        <v>5</v>
      </c>
      <c r="F35" s="4" t="s">
        <v>17</v>
      </c>
      <c r="G35" s="4">
        <v>14</v>
      </c>
      <c r="H35" s="4">
        <v>0</v>
      </c>
      <c r="I35" s="4">
        <v>3</v>
      </c>
      <c r="J35" s="4">
        <v>5</v>
      </c>
      <c r="K35" s="1" t="s">
        <v>115</v>
      </c>
    </row>
    <row r="36" spans="1:11" ht="53.15" hidden="1" customHeight="1" x14ac:dyDescent="0.35">
      <c r="A36" s="4" t="s">
        <v>94</v>
      </c>
      <c r="B36" s="4" t="s">
        <v>95</v>
      </c>
      <c r="C36" s="4">
        <v>2023</v>
      </c>
      <c r="D36" s="4" t="s">
        <v>28</v>
      </c>
      <c r="E36" s="4">
        <v>4</v>
      </c>
      <c r="F36" s="4" t="s">
        <v>96</v>
      </c>
      <c r="G36" s="4">
        <v>57</v>
      </c>
      <c r="H36" s="4">
        <v>2</v>
      </c>
      <c r="I36" s="4">
        <v>1</v>
      </c>
      <c r="J36" s="4">
        <v>1</v>
      </c>
      <c r="K36" s="1" t="s">
        <v>97</v>
      </c>
    </row>
    <row r="37" spans="1:11" ht="53.15" hidden="1" customHeight="1" x14ac:dyDescent="0.35">
      <c r="A37" s="4" t="s">
        <v>98</v>
      </c>
      <c r="B37" s="4" t="s">
        <v>95</v>
      </c>
      <c r="C37" s="4">
        <v>2023</v>
      </c>
      <c r="D37" s="4" t="s">
        <v>28</v>
      </c>
      <c r="E37" s="4">
        <v>7</v>
      </c>
      <c r="F37" s="4" t="s">
        <v>14</v>
      </c>
      <c r="G37" s="4">
        <v>20</v>
      </c>
      <c r="H37" s="4">
        <v>1</v>
      </c>
      <c r="I37" s="4">
        <v>0</v>
      </c>
      <c r="J37" s="4">
        <v>6</v>
      </c>
      <c r="K37" s="1" t="s">
        <v>99</v>
      </c>
    </row>
    <row r="38" spans="1:11" ht="53.15" hidden="1" customHeight="1" x14ac:dyDescent="0.35">
      <c r="A38" s="4" t="s">
        <v>100</v>
      </c>
      <c r="B38" s="4" t="s">
        <v>95</v>
      </c>
      <c r="C38" s="4">
        <v>2023</v>
      </c>
      <c r="D38" s="4" t="s">
        <v>28</v>
      </c>
      <c r="E38" s="4">
        <v>5</v>
      </c>
      <c r="F38" s="4" t="s">
        <v>14</v>
      </c>
      <c r="G38" s="4">
        <v>21</v>
      </c>
      <c r="H38" s="4">
        <v>1</v>
      </c>
      <c r="I38" s="4">
        <v>3</v>
      </c>
      <c r="J38" s="4">
        <v>7</v>
      </c>
      <c r="K38" s="1" t="s">
        <v>101</v>
      </c>
    </row>
    <row r="39" spans="1:11" ht="53.15" hidden="1" customHeight="1" x14ac:dyDescent="0.35">
      <c r="A39" s="4" t="s">
        <v>102</v>
      </c>
      <c r="B39" s="4" t="s">
        <v>95</v>
      </c>
      <c r="C39" s="4">
        <v>2023</v>
      </c>
      <c r="D39" s="4" t="s">
        <v>28</v>
      </c>
      <c r="E39" s="4">
        <v>5</v>
      </c>
      <c r="F39" s="4" t="s">
        <v>14</v>
      </c>
      <c r="G39" s="4">
        <v>22</v>
      </c>
      <c r="H39" s="4">
        <v>0</v>
      </c>
      <c r="I39" s="4">
        <v>1</v>
      </c>
      <c r="J39" s="4">
        <v>7</v>
      </c>
      <c r="K39" s="1" t="s">
        <v>103</v>
      </c>
    </row>
    <row r="40" spans="1:11" ht="53.15" hidden="1" customHeight="1" x14ac:dyDescent="0.35">
      <c r="A40" s="4" t="s">
        <v>104</v>
      </c>
      <c r="B40" s="4" t="s">
        <v>95</v>
      </c>
      <c r="C40" s="4">
        <v>2023</v>
      </c>
      <c r="D40" s="4" t="s">
        <v>28</v>
      </c>
      <c r="E40" s="4">
        <v>3</v>
      </c>
      <c r="F40" s="4" t="s">
        <v>14</v>
      </c>
      <c r="G40" s="4">
        <v>22</v>
      </c>
      <c r="H40" s="4">
        <v>0</v>
      </c>
      <c r="I40" s="4">
        <v>0</v>
      </c>
      <c r="J40" s="4">
        <v>6</v>
      </c>
      <c r="K40" s="1" t="s">
        <v>105</v>
      </c>
    </row>
    <row r="41" spans="1:11" ht="53.15" hidden="1" customHeight="1" x14ac:dyDescent="0.35">
      <c r="A41" s="4" t="s">
        <v>104</v>
      </c>
      <c r="B41" s="4" t="s">
        <v>95</v>
      </c>
      <c r="C41" s="4">
        <v>2023</v>
      </c>
      <c r="D41" s="4" t="s">
        <v>28</v>
      </c>
      <c r="E41" s="4">
        <v>3</v>
      </c>
      <c r="F41" s="4" t="s">
        <v>14</v>
      </c>
      <c r="G41" s="4">
        <v>22</v>
      </c>
      <c r="H41" s="4">
        <v>0</v>
      </c>
      <c r="I41" s="4">
        <v>1</v>
      </c>
      <c r="J41" s="4">
        <v>6</v>
      </c>
      <c r="K41" s="1" t="s">
        <v>105</v>
      </c>
    </row>
    <row r="42" spans="1:11" ht="53.15" hidden="1" customHeight="1" x14ac:dyDescent="0.35">
      <c r="A42" s="4" t="s">
        <v>116</v>
      </c>
      <c r="B42" s="4" t="s">
        <v>117</v>
      </c>
      <c r="C42" s="4">
        <v>2023</v>
      </c>
      <c r="D42" s="4" t="s">
        <v>118</v>
      </c>
      <c r="E42" s="4">
        <v>8</v>
      </c>
      <c r="F42" s="4" t="s">
        <v>118</v>
      </c>
      <c r="G42" s="4">
        <v>17</v>
      </c>
      <c r="H42" s="4">
        <v>1</v>
      </c>
      <c r="I42" s="4">
        <v>0</v>
      </c>
      <c r="J42" s="4">
        <v>10</v>
      </c>
      <c r="K42" s="1" t="s">
        <v>119</v>
      </c>
    </row>
    <row r="43" spans="1:11" ht="53.15" hidden="1" customHeight="1" x14ac:dyDescent="0.35">
      <c r="A43" s="4" t="s">
        <v>120</v>
      </c>
      <c r="B43" s="4" t="s">
        <v>117</v>
      </c>
      <c r="C43" s="4">
        <v>2023</v>
      </c>
      <c r="D43" s="4" t="s">
        <v>118</v>
      </c>
      <c r="E43" s="4">
        <v>4</v>
      </c>
      <c r="F43" s="4" t="s">
        <v>17</v>
      </c>
      <c r="G43" s="4">
        <v>29</v>
      </c>
      <c r="H43" s="4">
        <v>0</v>
      </c>
      <c r="I43" s="4">
        <v>1</v>
      </c>
      <c r="J43" s="4">
        <v>14</v>
      </c>
      <c r="K43" s="1" t="s">
        <v>121</v>
      </c>
    </row>
    <row r="44" spans="1:11" ht="53.15" hidden="1" customHeight="1" x14ac:dyDescent="0.35">
      <c r="A44" s="4" t="s">
        <v>122</v>
      </c>
      <c r="B44" s="4" t="s">
        <v>117</v>
      </c>
      <c r="C44" s="4">
        <v>2023</v>
      </c>
      <c r="D44" s="4" t="s">
        <v>118</v>
      </c>
      <c r="E44" s="4">
        <v>9</v>
      </c>
      <c r="F44" s="4" t="s">
        <v>123</v>
      </c>
      <c r="G44" s="4">
        <v>29</v>
      </c>
      <c r="H44" s="4">
        <v>2</v>
      </c>
      <c r="I44" s="4">
        <v>1</v>
      </c>
      <c r="J44" s="4">
        <v>9</v>
      </c>
      <c r="K44" s="1" t="s">
        <v>124</v>
      </c>
    </row>
    <row r="45" spans="1:11" ht="53.15" hidden="1" customHeight="1" x14ac:dyDescent="0.35">
      <c r="A45" s="4" t="s">
        <v>125</v>
      </c>
      <c r="B45" s="4" t="s">
        <v>117</v>
      </c>
      <c r="C45" s="4">
        <v>2023</v>
      </c>
      <c r="D45" s="4" t="s">
        <v>118</v>
      </c>
      <c r="E45" s="4">
        <v>5</v>
      </c>
      <c r="F45" s="4" t="s">
        <v>17</v>
      </c>
      <c r="G45" s="4">
        <v>30</v>
      </c>
      <c r="H45" s="4">
        <v>2</v>
      </c>
      <c r="I45" s="4">
        <v>1</v>
      </c>
      <c r="J45" s="4">
        <v>13</v>
      </c>
      <c r="K45" s="1" t="s">
        <v>126</v>
      </c>
    </row>
    <row r="46" spans="1:11" ht="53.15" hidden="1" customHeight="1" x14ac:dyDescent="0.35">
      <c r="A46" s="4" t="s">
        <v>127</v>
      </c>
      <c r="B46" s="4" t="s">
        <v>117</v>
      </c>
      <c r="C46" s="4">
        <v>2023</v>
      </c>
      <c r="D46" s="4" t="s">
        <v>118</v>
      </c>
      <c r="E46" s="4">
        <v>3</v>
      </c>
      <c r="F46" s="4" t="s">
        <v>128</v>
      </c>
      <c r="G46" s="4">
        <v>19</v>
      </c>
      <c r="H46" s="4">
        <v>2</v>
      </c>
      <c r="I46" s="4">
        <v>4</v>
      </c>
      <c r="J46" s="4">
        <v>14</v>
      </c>
      <c r="K46" s="1" t="s">
        <v>129</v>
      </c>
    </row>
    <row r="47" spans="1:11" ht="53.15" hidden="1" customHeight="1" x14ac:dyDescent="0.35">
      <c r="A47" s="4" t="s">
        <v>130</v>
      </c>
      <c r="B47" s="4" t="s">
        <v>117</v>
      </c>
      <c r="C47" s="4">
        <v>2023</v>
      </c>
      <c r="D47" s="4" t="s">
        <v>118</v>
      </c>
      <c r="E47" s="4">
        <v>3</v>
      </c>
      <c r="F47" s="4" t="s">
        <v>131</v>
      </c>
      <c r="G47" s="4">
        <v>30</v>
      </c>
      <c r="H47" s="4">
        <v>5</v>
      </c>
      <c r="I47" s="4">
        <v>0</v>
      </c>
      <c r="J47" s="4">
        <v>4</v>
      </c>
      <c r="K47" s="1" t="s">
        <v>132</v>
      </c>
    </row>
    <row r="48" spans="1:11" ht="53.15" hidden="1" customHeight="1" x14ac:dyDescent="0.35">
      <c r="A48" s="4" t="s">
        <v>133</v>
      </c>
      <c r="B48" s="4" t="s">
        <v>352</v>
      </c>
      <c r="C48" s="4">
        <v>2023</v>
      </c>
      <c r="D48" s="4" t="s">
        <v>134</v>
      </c>
      <c r="E48" s="4">
        <v>3</v>
      </c>
      <c r="F48" s="4" t="s">
        <v>51</v>
      </c>
      <c r="G48" s="4">
        <v>34</v>
      </c>
      <c r="H48" s="4">
        <v>18</v>
      </c>
      <c r="I48" s="4">
        <v>0</v>
      </c>
      <c r="J48" s="4">
        <v>7</v>
      </c>
      <c r="K48" s="1" t="s">
        <v>135</v>
      </c>
    </row>
    <row r="49" spans="1:11" ht="53.15" hidden="1" customHeight="1" x14ac:dyDescent="0.35">
      <c r="A49" s="4" t="s">
        <v>136</v>
      </c>
      <c r="B49" s="4" t="s">
        <v>352</v>
      </c>
      <c r="C49" s="4">
        <v>2023</v>
      </c>
      <c r="D49" s="4" t="s">
        <v>134</v>
      </c>
      <c r="E49" s="4">
        <v>5</v>
      </c>
      <c r="F49" s="4" t="s">
        <v>92</v>
      </c>
      <c r="G49" s="4">
        <v>7</v>
      </c>
      <c r="H49" s="4">
        <v>15</v>
      </c>
      <c r="I49" s="4">
        <v>5</v>
      </c>
      <c r="J49" s="4">
        <v>7</v>
      </c>
      <c r="K49" s="1" t="s">
        <v>137</v>
      </c>
    </row>
    <row r="50" spans="1:11" ht="53.15" hidden="1" customHeight="1" x14ac:dyDescent="0.35">
      <c r="A50" s="4" t="s">
        <v>138</v>
      </c>
      <c r="B50" s="4" t="s">
        <v>352</v>
      </c>
      <c r="C50" s="4">
        <v>2023</v>
      </c>
      <c r="D50" s="4" t="s">
        <v>134</v>
      </c>
      <c r="E50" s="4">
        <v>16</v>
      </c>
      <c r="F50" s="4" t="s">
        <v>77</v>
      </c>
      <c r="G50" s="4">
        <v>33</v>
      </c>
      <c r="H50" s="4">
        <v>14</v>
      </c>
      <c r="I50" s="4">
        <v>1</v>
      </c>
      <c r="J50" s="4">
        <v>13</v>
      </c>
      <c r="K50" s="1" t="s">
        <v>139</v>
      </c>
    </row>
    <row r="51" spans="1:11" ht="53.15" hidden="1" customHeight="1" x14ac:dyDescent="0.35">
      <c r="A51" s="4" t="s">
        <v>140</v>
      </c>
      <c r="B51" s="4" t="s">
        <v>352</v>
      </c>
      <c r="C51" s="4">
        <v>2023</v>
      </c>
      <c r="D51" s="4" t="s">
        <v>134</v>
      </c>
      <c r="E51" s="4">
        <v>5</v>
      </c>
      <c r="F51" s="4" t="s">
        <v>77</v>
      </c>
      <c r="G51" s="4">
        <v>21</v>
      </c>
      <c r="H51" s="4">
        <v>7</v>
      </c>
      <c r="I51" s="4">
        <v>1</v>
      </c>
      <c r="J51" s="4">
        <v>7</v>
      </c>
      <c r="K51" s="1" t="s">
        <v>141</v>
      </c>
    </row>
    <row r="52" spans="1:11" ht="53.15" hidden="1" customHeight="1" x14ac:dyDescent="0.35">
      <c r="A52" s="4" t="s">
        <v>142</v>
      </c>
      <c r="B52" s="4" t="s">
        <v>352</v>
      </c>
      <c r="C52" s="4">
        <v>2023</v>
      </c>
      <c r="D52" s="4" t="s">
        <v>134</v>
      </c>
      <c r="E52" s="4">
        <v>3</v>
      </c>
      <c r="F52" s="4" t="s">
        <v>131</v>
      </c>
      <c r="G52" s="4">
        <v>27</v>
      </c>
      <c r="H52" s="4">
        <v>8</v>
      </c>
      <c r="I52" s="4">
        <v>0</v>
      </c>
      <c r="J52" s="4">
        <v>4</v>
      </c>
      <c r="K52" s="1" t="s">
        <v>143</v>
      </c>
    </row>
    <row r="53" spans="1:11" ht="53.15" hidden="1" customHeight="1" x14ac:dyDescent="0.35">
      <c r="A53" s="4" t="s">
        <v>144</v>
      </c>
      <c r="B53" s="4" t="s">
        <v>352</v>
      </c>
      <c r="C53" s="4">
        <v>2023</v>
      </c>
      <c r="D53" s="4" t="s">
        <v>134</v>
      </c>
      <c r="E53" s="4">
        <v>7</v>
      </c>
      <c r="F53" s="4" t="s">
        <v>145</v>
      </c>
      <c r="G53" s="4">
        <v>21</v>
      </c>
      <c r="H53" s="4">
        <v>11</v>
      </c>
      <c r="I53" s="4">
        <v>0</v>
      </c>
      <c r="J53" s="4">
        <v>6</v>
      </c>
      <c r="K53" s="1" t="s">
        <v>146</v>
      </c>
    </row>
    <row r="54" spans="1:11" ht="53.15" customHeight="1" x14ac:dyDescent="0.35">
      <c r="A54" s="4" t="s">
        <v>147</v>
      </c>
      <c r="B54" s="4" t="s">
        <v>148</v>
      </c>
      <c r="C54" s="4">
        <v>2023</v>
      </c>
      <c r="D54" s="4" t="s">
        <v>149</v>
      </c>
      <c r="E54" s="4">
        <v>4</v>
      </c>
      <c r="F54" s="4" t="s">
        <v>14</v>
      </c>
      <c r="G54" s="4">
        <v>53</v>
      </c>
      <c r="H54" s="4">
        <v>29</v>
      </c>
      <c r="I54" s="4">
        <v>2</v>
      </c>
      <c r="J54" s="4">
        <v>13</v>
      </c>
      <c r="K54" s="4" t="s">
        <v>150</v>
      </c>
    </row>
    <row r="55" spans="1:11" ht="53.15" customHeight="1" x14ac:dyDescent="0.35">
      <c r="A55" s="4" t="s">
        <v>151</v>
      </c>
      <c r="B55" s="4" t="s">
        <v>148</v>
      </c>
      <c r="C55" s="4">
        <v>2023</v>
      </c>
      <c r="D55" s="4" t="s">
        <v>149</v>
      </c>
      <c r="E55" s="4">
        <v>8</v>
      </c>
      <c r="F55" s="4" t="s">
        <v>14</v>
      </c>
      <c r="G55" s="4">
        <v>76</v>
      </c>
      <c r="H55" s="4">
        <v>48</v>
      </c>
      <c r="I55" s="4">
        <v>4</v>
      </c>
      <c r="J55" s="4">
        <v>16</v>
      </c>
      <c r="K55" s="4" t="s">
        <v>152</v>
      </c>
    </row>
    <row r="56" spans="1:11" ht="53.15" customHeight="1" x14ac:dyDescent="0.35">
      <c r="A56" s="4" t="s">
        <v>153</v>
      </c>
      <c r="B56" s="4" t="s">
        <v>148</v>
      </c>
      <c r="C56" s="4">
        <v>2023</v>
      </c>
      <c r="D56" s="4" t="s">
        <v>149</v>
      </c>
      <c r="E56" s="4">
        <v>4</v>
      </c>
      <c r="F56" s="4" t="s">
        <v>14</v>
      </c>
      <c r="G56" s="4">
        <v>91</v>
      </c>
      <c r="H56" s="4">
        <v>11</v>
      </c>
      <c r="I56" s="4">
        <v>4</v>
      </c>
      <c r="J56" s="4">
        <v>15</v>
      </c>
      <c r="K56" s="4" t="s">
        <v>154</v>
      </c>
    </row>
    <row r="57" spans="1:11" ht="53.15" customHeight="1" x14ac:dyDescent="0.35">
      <c r="A57" s="4" t="s">
        <v>155</v>
      </c>
      <c r="B57" s="4" t="s">
        <v>148</v>
      </c>
      <c r="C57" s="4">
        <v>2023</v>
      </c>
      <c r="D57" s="4" t="s">
        <v>149</v>
      </c>
      <c r="E57" s="4">
        <v>5</v>
      </c>
      <c r="F57" s="4" t="s">
        <v>51</v>
      </c>
      <c r="G57" s="4">
        <v>104</v>
      </c>
      <c r="H57" s="4">
        <v>31</v>
      </c>
      <c r="I57" s="4">
        <v>3</v>
      </c>
      <c r="J57" s="4">
        <v>6</v>
      </c>
      <c r="K57" s="4" t="s">
        <v>156</v>
      </c>
    </row>
    <row r="58" spans="1:11" ht="53.15" customHeight="1" x14ac:dyDescent="0.35">
      <c r="A58" s="4" t="s">
        <v>157</v>
      </c>
      <c r="B58" s="4" t="s">
        <v>148</v>
      </c>
      <c r="C58" s="4">
        <v>2023</v>
      </c>
      <c r="D58" s="4" t="s">
        <v>149</v>
      </c>
      <c r="E58" s="4">
        <v>2</v>
      </c>
      <c r="F58" s="4" t="s">
        <v>158</v>
      </c>
      <c r="G58" s="4">
        <v>103</v>
      </c>
      <c r="H58" s="4">
        <v>7</v>
      </c>
      <c r="I58" s="4">
        <v>4</v>
      </c>
      <c r="J58" s="4">
        <v>12</v>
      </c>
      <c r="K58" s="4" t="s">
        <v>159</v>
      </c>
    </row>
    <row r="59" spans="1:11" ht="53.15" customHeight="1" x14ac:dyDescent="0.35">
      <c r="A59" s="4" t="s">
        <v>160</v>
      </c>
      <c r="B59" s="4" t="s">
        <v>148</v>
      </c>
      <c r="C59" s="4">
        <v>2023</v>
      </c>
      <c r="D59" s="4" t="s">
        <v>149</v>
      </c>
      <c r="E59" s="4">
        <v>8</v>
      </c>
      <c r="F59" s="4" t="s">
        <v>14</v>
      </c>
      <c r="G59" s="4">
        <v>78</v>
      </c>
      <c r="H59" s="4">
        <v>3</v>
      </c>
      <c r="I59" s="4">
        <v>5</v>
      </c>
      <c r="J59" s="4">
        <v>17</v>
      </c>
      <c r="K59" s="4" t="s">
        <v>161</v>
      </c>
    </row>
    <row r="60" spans="1:11" ht="53.15" customHeight="1" x14ac:dyDescent="0.35">
      <c r="A60" s="4" t="s">
        <v>162</v>
      </c>
      <c r="B60" s="4" t="s">
        <v>148</v>
      </c>
      <c r="C60" s="4">
        <v>2023</v>
      </c>
      <c r="D60" s="4" t="s">
        <v>149</v>
      </c>
      <c r="E60" s="4">
        <v>3</v>
      </c>
      <c r="F60" s="4" t="s">
        <v>13</v>
      </c>
      <c r="G60" s="4">
        <v>64</v>
      </c>
      <c r="H60" s="4">
        <v>0</v>
      </c>
      <c r="I60" s="4">
        <v>10</v>
      </c>
      <c r="J60" s="4">
        <v>11</v>
      </c>
      <c r="K60" s="4" t="s">
        <v>163</v>
      </c>
    </row>
    <row r="61" spans="1:11" ht="53.15" customHeight="1" x14ac:dyDescent="0.35">
      <c r="A61" s="4" t="s">
        <v>164</v>
      </c>
      <c r="B61" s="4" t="s">
        <v>148</v>
      </c>
      <c r="C61" s="4">
        <v>2023</v>
      </c>
      <c r="D61" s="4" t="s">
        <v>149</v>
      </c>
      <c r="E61" s="4">
        <v>4</v>
      </c>
      <c r="F61" s="4" t="s">
        <v>14</v>
      </c>
      <c r="G61" s="4">
        <v>57</v>
      </c>
      <c r="H61" s="4">
        <v>0</v>
      </c>
      <c r="I61" s="4">
        <v>0</v>
      </c>
      <c r="J61" s="4">
        <v>16</v>
      </c>
      <c r="K61" s="4" t="s">
        <v>165</v>
      </c>
    </row>
    <row r="62" spans="1:11" ht="53.15" customHeight="1" x14ac:dyDescent="0.35">
      <c r="A62" s="4" t="s">
        <v>166</v>
      </c>
      <c r="B62" s="4" t="s">
        <v>148</v>
      </c>
      <c r="C62" s="4">
        <v>2023</v>
      </c>
      <c r="D62" s="4" t="s">
        <v>149</v>
      </c>
      <c r="E62" s="4">
        <v>4</v>
      </c>
      <c r="F62" s="4" t="s">
        <v>17</v>
      </c>
      <c r="G62" s="4">
        <v>93</v>
      </c>
      <c r="H62" s="4">
        <v>20</v>
      </c>
      <c r="I62" s="4">
        <v>5</v>
      </c>
      <c r="J62" s="4">
        <v>17</v>
      </c>
      <c r="K62" s="4" t="s">
        <v>167</v>
      </c>
    </row>
    <row r="63" spans="1:11" ht="53.15" customHeight="1" x14ac:dyDescent="0.35">
      <c r="A63" s="4" t="s">
        <v>168</v>
      </c>
      <c r="B63" s="4" t="s">
        <v>148</v>
      </c>
      <c r="C63" s="4">
        <v>2023</v>
      </c>
      <c r="D63" s="4" t="s">
        <v>149</v>
      </c>
      <c r="E63" s="4">
        <v>4</v>
      </c>
      <c r="F63" s="4" t="s">
        <v>17</v>
      </c>
      <c r="G63" s="4">
        <v>94</v>
      </c>
      <c r="H63" s="4">
        <v>29</v>
      </c>
      <c r="I63" s="4">
        <v>5</v>
      </c>
      <c r="J63" s="4">
        <v>20</v>
      </c>
      <c r="K63" s="4" t="s">
        <v>169</v>
      </c>
    </row>
    <row r="64" spans="1:11" ht="53.15" customHeight="1" x14ac:dyDescent="0.35">
      <c r="A64" s="4" t="s">
        <v>170</v>
      </c>
      <c r="B64" s="4" t="s">
        <v>148</v>
      </c>
      <c r="C64" s="4">
        <v>2023</v>
      </c>
      <c r="D64" s="4" t="s">
        <v>149</v>
      </c>
      <c r="E64" s="4">
        <v>5</v>
      </c>
      <c r="F64" s="4" t="s">
        <v>17</v>
      </c>
      <c r="G64" s="4">
        <v>80</v>
      </c>
      <c r="H64" s="4">
        <v>4</v>
      </c>
      <c r="I64" s="4">
        <v>2</v>
      </c>
      <c r="J64" s="4">
        <v>20</v>
      </c>
      <c r="K64" s="4" t="s">
        <v>171</v>
      </c>
    </row>
    <row r="65" spans="1:11" ht="53.15" customHeight="1" x14ac:dyDescent="0.35">
      <c r="A65" s="4" t="s">
        <v>172</v>
      </c>
      <c r="B65" s="4" t="s">
        <v>148</v>
      </c>
      <c r="C65" s="4">
        <v>2023</v>
      </c>
      <c r="D65" s="4" t="s">
        <v>149</v>
      </c>
      <c r="E65" s="4">
        <v>6</v>
      </c>
      <c r="F65" s="4" t="s">
        <v>14</v>
      </c>
      <c r="G65" s="4">
        <v>82</v>
      </c>
      <c r="H65" s="4">
        <v>6</v>
      </c>
      <c r="I65" s="4">
        <v>4</v>
      </c>
      <c r="J65" s="4">
        <v>12</v>
      </c>
      <c r="K65" s="4" t="s">
        <v>173</v>
      </c>
    </row>
    <row r="66" spans="1:11" ht="53.15" customHeight="1" x14ac:dyDescent="0.35">
      <c r="A66" s="4" t="s">
        <v>174</v>
      </c>
      <c r="B66" s="4" t="s">
        <v>148</v>
      </c>
      <c r="C66" s="4">
        <v>2023</v>
      </c>
      <c r="D66" s="4" t="s">
        <v>149</v>
      </c>
      <c r="E66" s="4">
        <v>5</v>
      </c>
      <c r="F66" s="4" t="s">
        <v>175</v>
      </c>
      <c r="G66" s="4">
        <v>98</v>
      </c>
      <c r="H66" s="4">
        <v>2</v>
      </c>
      <c r="I66" s="4">
        <v>1</v>
      </c>
      <c r="J66" s="4">
        <v>19</v>
      </c>
      <c r="K66" s="4" t="s">
        <v>176</v>
      </c>
    </row>
    <row r="67" spans="1:11" ht="53.15" customHeight="1" x14ac:dyDescent="0.35">
      <c r="A67" s="4" t="s">
        <v>177</v>
      </c>
      <c r="B67" s="4" t="s">
        <v>148</v>
      </c>
      <c r="C67" s="4">
        <v>2023</v>
      </c>
      <c r="D67" s="4" t="s">
        <v>149</v>
      </c>
      <c r="E67" s="4">
        <v>9</v>
      </c>
      <c r="F67" s="4" t="s">
        <v>14</v>
      </c>
      <c r="G67" s="4">
        <v>82</v>
      </c>
      <c r="H67" s="4">
        <v>6</v>
      </c>
      <c r="I67" s="4">
        <v>3</v>
      </c>
      <c r="J67" s="4">
        <v>19</v>
      </c>
      <c r="K67" s="4" t="s">
        <v>178</v>
      </c>
    </row>
    <row r="68" spans="1:11" ht="53.15" customHeight="1" x14ac:dyDescent="0.35">
      <c r="A68" s="4" t="s">
        <v>179</v>
      </c>
      <c r="B68" s="4" t="s">
        <v>148</v>
      </c>
      <c r="C68" s="4">
        <v>2023</v>
      </c>
      <c r="D68" s="4" t="s">
        <v>149</v>
      </c>
      <c r="E68" s="4">
        <v>2</v>
      </c>
      <c r="F68" s="4" t="s">
        <v>14</v>
      </c>
      <c r="G68" s="4">
        <v>67</v>
      </c>
      <c r="H68" s="4">
        <v>21</v>
      </c>
      <c r="I68" s="4">
        <v>0</v>
      </c>
      <c r="J68" s="4">
        <v>25</v>
      </c>
      <c r="K68" s="4" t="s">
        <v>180</v>
      </c>
    </row>
    <row r="69" spans="1:11" ht="53.15" customHeight="1" x14ac:dyDescent="0.35">
      <c r="A69" s="4" t="s">
        <v>181</v>
      </c>
      <c r="B69" s="4" t="s">
        <v>148</v>
      </c>
      <c r="C69" s="4">
        <v>2023</v>
      </c>
      <c r="D69" s="4" t="s">
        <v>149</v>
      </c>
      <c r="E69" s="4">
        <v>3</v>
      </c>
      <c r="F69" s="4" t="s">
        <v>17</v>
      </c>
      <c r="G69" s="4">
        <v>62</v>
      </c>
      <c r="H69" s="4">
        <v>21</v>
      </c>
      <c r="I69" s="4">
        <v>3</v>
      </c>
      <c r="J69" s="4">
        <v>18</v>
      </c>
      <c r="K69" s="4" t="s">
        <v>182</v>
      </c>
    </row>
    <row r="70" spans="1:11" ht="53.15" customHeight="1" x14ac:dyDescent="0.35">
      <c r="A70" s="4" t="s">
        <v>183</v>
      </c>
      <c r="B70" s="4" t="s">
        <v>148</v>
      </c>
      <c r="C70" s="4">
        <v>2023</v>
      </c>
      <c r="D70" s="4" t="s">
        <v>149</v>
      </c>
      <c r="E70" s="4">
        <v>4</v>
      </c>
      <c r="F70" s="4" t="s">
        <v>14</v>
      </c>
      <c r="G70" s="4">
        <v>60</v>
      </c>
      <c r="H70" s="4">
        <v>41</v>
      </c>
      <c r="I70" s="4">
        <v>4</v>
      </c>
      <c r="J70" s="4">
        <v>14</v>
      </c>
      <c r="K70" s="4" t="s">
        <v>184</v>
      </c>
    </row>
    <row r="71" spans="1:11" ht="53.15" customHeight="1" x14ac:dyDescent="0.35">
      <c r="A71" s="4" t="s">
        <v>185</v>
      </c>
      <c r="B71" s="4" t="s">
        <v>148</v>
      </c>
      <c r="C71" s="4">
        <v>2023</v>
      </c>
      <c r="D71" s="4" t="s">
        <v>149</v>
      </c>
      <c r="E71" s="4">
        <v>3</v>
      </c>
      <c r="F71" s="4" t="s">
        <v>17</v>
      </c>
      <c r="G71" s="4">
        <v>60</v>
      </c>
      <c r="H71" s="4">
        <v>20</v>
      </c>
      <c r="I71" s="4">
        <v>0</v>
      </c>
      <c r="J71" s="4">
        <v>21</v>
      </c>
      <c r="K71" s="4" t="s">
        <v>186</v>
      </c>
    </row>
    <row r="72" spans="1:11" ht="53.15" customHeight="1" x14ac:dyDescent="0.35">
      <c r="A72" s="4" t="s">
        <v>187</v>
      </c>
      <c r="B72" s="4" t="s">
        <v>148</v>
      </c>
      <c r="C72" s="4">
        <v>2023</v>
      </c>
      <c r="D72" s="4" t="s">
        <v>149</v>
      </c>
      <c r="E72" s="4">
        <v>4</v>
      </c>
      <c r="F72" s="4" t="s">
        <v>17</v>
      </c>
      <c r="G72" s="4">
        <v>61</v>
      </c>
      <c r="H72" s="4">
        <v>1</v>
      </c>
      <c r="I72" s="4">
        <v>1</v>
      </c>
      <c r="J72" s="4">
        <v>13</v>
      </c>
      <c r="K72" s="4" t="s">
        <v>188</v>
      </c>
    </row>
    <row r="73" spans="1:11" ht="53.15" customHeight="1" x14ac:dyDescent="0.35">
      <c r="A73" s="4" t="s">
        <v>189</v>
      </c>
      <c r="B73" s="4" t="s">
        <v>148</v>
      </c>
      <c r="C73" s="4">
        <v>2023</v>
      </c>
      <c r="D73" s="4" t="s">
        <v>149</v>
      </c>
      <c r="E73" s="4">
        <v>5</v>
      </c>
      <c r="F73" s="4" t="s">
        <v>14</v>
      </c>
      <c r="G73" s="4">
        <v>60</v>
      </c>
      <c r="H73" s="4">
        <v>40</v>
      </c>
      <c r="I73" s="4">
        <v>3</v>
      </c>
      <c r="J73" s="4">
        <v>26</v>
      </c>
      <c r="K73" s="4" t="s">
        <v>190</v>
      </c>
    </row>
    <row r="74" spans="1:11" ht="53.15" customHeight="1" x14ac:dyDescent="0.35">
      <c r="A74" s="4" t="s">
        <v>191</v>
      </c>
      <c r="B74" s="4" t="s">
        <v>148</v>
      </c>
      <c r="C74" s="4">
        <v>2023</v>
      </c>
      <c r="D74" s="4" t="s">
        <v>149</v>
      </c>
      <c r="E74" s="4">
        <v>7</v>
      </c>
      <c r="F74" s="4" t="s">
        <v>14</v>
      </c>
      <c r="G74" s="4">
        <v>84</v>
      </c>
      <c r="H74" s="4">
        <v>25</v>
      </c>
      <c r="I74" s="4">
        <v>0</v>
      </c>
      <c r="J74" s="4">
        <v>19</v>
      </c>
      <c r="K74" s="4" t="s">
        <v>192</v>
      </c>
    </row>
    <row r="75" spans="1:11" ht="53.15" customHeight="1" x14ac:dyDescent="0.35">
      <c r="A75" s="4" t="s">
        <v>193</v>
      </c>
      <c r="B75" s="4" t="s">
        <v>148</v>
      </c>
      <c r="C75" s="4">
        <v>2023</v>
      </c>
      <c r="D75" s="4" t="s">
        <v>149</v>
      </c>
      <c r="E75" s="4">
        <v>7</v>
      </c>
      <c r="F75" s="4" t="s">
        <v>14</v>
      </c>
      <c r="G75" s="4">
        <v>50</v>
      </c>
      <c r="H75" s="4">
        <v>4</v>
      </c>
      <c r="I75" s="4">
        <v>4</v>
      </c>
      <c r="J75" s="4">
        <v>22</v>
      </c>
      <c r="K75" s="4" t="s">
        <v>194</v>
      </c>
    </row>
    <row r="76" spans="1:11" ht="53.15" customHeight="1" x14ac:dyDescent="0.35">
      <c r="A76" s="4" t="s">
        <v>195</v>
      </c>
      <c r="B76" s="4" t="s">
        <v>148</v>
      </c>
      <c r="C76" s="4">
        <v>2023</v>
      </c>
      <c r="D76" s="4" t="s">
        <v>149</v>
      </c>
      <c r="E76" s="4">
        <v>9</v>
      </c>
      <c r="F76" s="4" t="s">
        <v>17</v>
      </c>
      <c r="G76" s="4">
        <v>53</v>
      </c>
      <c r="H76" s="4">
        <v>4</v>
      </c>
      <c r="I76" s="4">
        <v>4</v>
      </c>
      <c r="J76" s="4">
        <v>14</v>
      </c>
      <c r="K76" s="4" t="s">
        <v>196</v>
      </c>
    </row>
    <row r="77" spans="1:11" ht="53.15" customHeight="1" x14ac:dyDescent="0.35">
      <c r="A77" s="4" t="s">
        <v>197</v>
      </c>
      <c r="B77" s="4" t="s">
        <v>148</v>
      </c>
      <c r="C77" s="4">
        <v>2023</v>
      </c>
      <c r="D77" s="4" t="s">
        <v>149</v>
      </c>
      <c r="E77" s="4">
        <v>8</v>
      </c>
      <c r="F77" s="4" t="s">
        <v>14</v>
      </c>
      <c r="G77" s="4">
        <v>72</v>
      </c>
      <c r="H77" s="4">
        <v>7</v>
      </c>
      <c r="I77" s="4">
        <v>3</v>
      </c>
      <c r="J77" s="4">
        <v>19</v>
      </c>
      <c r="K77" s="4" t="s">
        <v>198</v>
      </c>
    </row>
    <row r="78" spans="1:11" ht="53.15" customHeight="1" x14ac:dyDescent="0.35">
      <c r="A78" s="4" t="s">
        <v>199</v>
      </c>
      <c r="B78" s="4" t="s">
        <v>148</v>
      </c>
      <c r="C78" s="4">
        <v>2023</v>
      </c>
      <c r="D78" s="4" t="s">
        <v>149</v>
      </c>
      <c r="E78" s="4">
        <v>5</v>
      </c>
      <c r="F78" s="4" t="s">
        <v>14</v>
      </c>
      <c r="G78" s="4">
        <v>67</v>
      </c>
      <c r="H78" s="4">
        <v>21</v>
      </c>
      <c r="I78" s="4">
        <v>9</v>
      </c>
      <c r="J78" s="4">
        <v>15</v>
      </c>
      <c r="K78" s="4" t="s">
        <v>200</v>
      </c>
    </row>
    <row r="79" spans="1:11" ht="53.15" customHeight="1" x14ac:dyDescent="0.35">
      <c r="A79" s="4" t="s">
        <v>201</v>
      </c>
      <c r="B79" s="4" t="s">
        <v>148</v>
      </c>
      <c r="C79" s="4">
        <v>2023</v>
      </c>
      <c r="D79" s="4" t="s">
        <v>149</v>
      </c>
      <c r="E79" s="4">
        <v>7</v>
      </c>
      <c r="F79" s="4" t="s">
        <v>14</v>
      </c>
      <c r="G79" s="4">
        <v>54</v>
      </c>
      <c r="H79" s="4">
        <v>22</v>
      </c>
      <c r="I79" s="4">
        <v>0</v>
      </c>
      <c r="J79" s="4">
        <v>20</v>
      </c>
      <c r="K79" s="4" t="s">
        <v>202</v>
      </c>
    </row>
    <row r="80" spans="1:11" ht="53.15" customHeight="1" x14ac:dyDescent="0.35">
      <c r="A80" s="4" t="s">
        <v>203</v>
      </c>
      <c r="B80" s="4" t="s">
        <v>148</v>
      </c>
      <c r="C80" s="4">
        <v>2023</v>
      </c>
      <c r="D80" s="4" t="s">
        <v>149</v>
      </c>
      <c r="E80" s="4">
        <v>4</v>
      </c>
      <c r="F80" s="4" t="s">
        <v>17</v>
      </c>
      <c r="G80" s="4">
        <v>115</v>
      </c>
      <c r="H80" s="4">
        <v>25</v>
      </c>
      <c r="I80" s="4">
        <v>2</v>
      </c>
      <c r="J80" s="4">
        <v>11</v>
      </c>
      <c r="K80" s="4" t="s">
        <v>204</v>
      </c>
    </row>
    <row r="81" spans="1:11" ht="53.15" customHeight="1" x14ac:dyDescent="0.35">
      <c r="A81" s="4" t="s">
        <v>205</v>
      </c>
      <c r="B81" s="4" t="s">
        <v>148</v>
      </c>
      <c r="C81" s="4">
        <v>2024</v>
      </c>
      <c r="D81" s="4" t="s">
        <v>28</v>
      </c>
      <c r="E81" s="4">
        <v>5</v>
      </c>
      <c r="F81" s="4" t="s">
        <v>17</v>
      </c>
      <c r="G81" s="4">
        <v>60</v>
      </c>
      <c r="H81" s="4">
        <v>6</v>
      </c>
      <c r="I81" s="4">
        <v>5</v>
      </c>
      <c r="J81" s="4">
        <v>11</v>
      </c>
      <c r="K81" s="4" t="s">
        <v>206</v>
      </c>
    </row>
    <row r="82" spans="1:11" ht="53.15" customHeight="1" x14ac:dyDescent="0.35">
      <c r="A82" s="4" t="s">
        <v>207</v>
      </c>
      <c r="B82" s="4" t="s">
        <v>148</v>
      </c>
      <c r="C82" s="4">
        <v>2024</v>
      </c>
      <c r="D82" s="4" t="s">
        <v>28</v>
      </c>
      <c r="E82" s="4">
        <v>5</v>
      </c>
      <c r="F82" s="4" t="s">
        <v>14</v>
      </c>
      <c r="G82" s="4">
        <v>59</v>
      </c>
      <c r="H82" s="4">
        <v>12</v>
      </c>
      <c r="I82" s="4">
        <v>4</v>
      </c>
      <c r="J82" s="4">
        <v>21</v>
      </c>
      <c r="K82" s="4" t="s">
        <v>208</v>
      </c>
    </row>
    <row r="83" spans="1:11" ht="53.15" customHeight="1" x14ac:dyDescent="0.35">
      <c r="A83" s="4" t="s">
        <v>209</v>
      </c>
      <c r="B83" s="4" t="s">
        <v>148</v>
      </c>
      <c r="C83" s="4">
        <v>2024</v>
      </c>
      <c r="D83" s="4" t="s">
        <v>28</v>
      </c>
      <c r="E83" s="4">
        <v>5</v>
      </c>
      <c r="F83" s="4" t="s">
        <v>56</v>
      </c>
      <c r="G83" s="4">
        <v>53</v>
      </c>
      <c r="H83" s="4">
        <v>11</v>
      </c>
      <c r="I83" s="4">
        <v>0</v>
      </c>
      <c r="J83" s="4">
        <v>15</v>
      </c>
      <c r="K83" s="4" t="s">
        <v>210</v>
      </c>
    </row>
    <row r="84" spans="1:11" ht="53.15" customHeight="1" x14ac:dyDescent="0.35">
      <c r="A84" s="4" t="s">
        <v>211</v>
      </c>
      <c r="B84" s="4" t="s">
        <v>148</v>
      </c>
      <c r="C84" s="4">
        <v>2024</v>
      </c>
      <c r="D84" s="4" t="s">
        <v>28</v>
      </c>
      <c r="E84" s="4">
        <v>6</v>
      </c>
      <c r="F84" s="4" t="s">
        <v>17</v>
      </c>
      <c r="G84" s="4">
        <v>66</v>
      </c>
      <c r="H84" s="4">
        <v>6</v>
      </c>
      <c r="I84" s="4">
        <v>4</v>
      </c>
      <c r="J84" s="4">
        <v>16</v>
      </c>
      <c r="K84" s="4" t="s">
        <v>212</v>
      </c>
    </row>
    <row r="85" spans="1:11" ht="53.15" customHeight="1" x14ac:dyDescent="0.35">
      <c r="A85" s="4" t="s">
        <v>213</v>
      </c>
      <c r="B85" s="4" t="s">
        <v>148</v>
      </c>
      <c r="C85" s="4">
        <v>2024</v>
      </c>
      <c r="D85" s="4" t="s">
        <v>28</v>
      </c>
      <c r="E85" s="4">
        <v>5</v>
      </c>
      <c r="F85" s="4" t="s">
        <v>14</v>
      </c>
      <c r="G85" s="4">
        <v>77</v>
      </c>
      <c r="H85" s="4">
        <v>34</v>
      </c>
      <c r="I85" s="4">
        <v>0</v>
      </c>
      <c r="J85" s="4">
        <v>23</v>
      </c>
      <c r="K85" s="4" t="s">
        <v>214</v>
      </c>
    </row>
    <row r="86" spans="1:11" ht="53.15" customHeight="1" x14ac:dyDescent="0.35">
      <c r="A86" s="4" t="s">
        <v>215</v>
      </c>
      <c r="B86" s="4" t="s">
        <v>148</v>
      </c>
      <c r="C86" s="4">
        <v>2024</v>
      </c>
      <c r="D86" s="4" t="s">
        <v>28</v>
      </c>
      <c r="E86" s="4">
        <v>5</v>
      </c>
      <c r="F86" s="4" t="s">
        <v>17</v>
      </c>
      <c r="G86" s="4">
        <v>66</v>
      </c>
      <c r="H86" s="4">
        <v>4</v>
      </c>
      <c r="I86" s="4">
        <v>5</v>
      </c>
      <c r="J86" s="4">
        <v>6</v>
      </c>
      <c r="K86" s="4" t="s">
        <v>216</v>
      </c>
    </row>
    <row r="87" spans="1:11" ht="53.15" customHeight="1" x14ac:dyDescent="0.35">
      <c r="A87" s="4" t="s">
        <v>217</v>
      </c>
      <c r="B87" s="4" t="s">
        <v>148</v>
      </c>
      <c r="C87" s="4">
        <v>2024</v>
      </c>
      <c r="D87" s="4" t="s">
        <v>28</v>
      </c>
      <c r="E87" s="4">
        <v>5</v>
      </c>
      <c r="F87" s="4" t="s">
        <v>17</v>
      </c>
      <c r="G87" s="4">
        <v>57</v>
      </c>
      <c r="H87" s="4">
        <v>23</v>
      </c>
      <c r="I87" s="4">
        <v>1</v>
      </c>
      <c r="J87" s="4">
        <v>17</v>
      </c>
      <c r="K87" s="4" t="s">
        <v>218</v>
      </c>
    </row>
    <row r="88" spans="1:11" ht="53.15" customHeight="1" x14ac:dyDescent="0.35">
      <c r="A88" s="4" t="s">
        <v>219</v>
      </c>
      <c r="B88" s="4" t="s">
        <v>148</v>
      </c>
      <c r="C88" s="4">
        <v>2024</v>
      </c>
      <c r="D88" s="4" t="s">
        <v>28</v>
      </c>
      <c r="E88" s="4">
        <v>5</v>
      </c>
      <c r="F88" s="4" t="s">
        <v>17</v>
      </c>
      <c r="G88" s="4">
        <v>113</v>
      </c>
      <c r="H88" s="4">
        <v>6</v>
      </c>
      <c r="I88" s="4">
        <v>4</v>
      </c>
      <c r="J88" s="4">
        <v>13</v>
      </c>
      <c r="K88" s="4" t="s">
        <v>220</v>
      </c>
    </row>
    <row r="89" spans="1:11" ht="53.15" customHeight="1" x14ac:dyDescent="0.35">
      <c r="A89" s="4" t="s">
        <v>221</v>
      </c>
      <c r="B89" s="4" t="s">
        <v>148</v>
      </c>
      <c r="C89" s="4">
        <v>2024</v>
      </c>
      <c r="D89" s="4" t="s">
        <v>28</v>
      </c>
      <c r="E89" s="4">
        <v>6</v>
      </c>
      <c r="F89" s="4" t="s">
        <v>14</v>
      </c>
      <c r="G89" s="4">
        <v>44</v>
      </c>
      <c r="H89" s="4">
        <v>2</v>
      </c>
      <c r="I89" s="4">
        <v>3</v>
      </c>
      <c r="J89" s="4">
        <v>16</v>
      </c>
      <c r="K89" s="4" t="s">
        <v>222</v>
      </c>
    </row>
    <row r="90" spans="1:11" ht="53.15" customHeight="1" x14ac:dyDescent="0.35">
      <c r="A90" s="4" t="s">
        <v>223</v>
      </c>
      <c r="B90" s="4" t="s">
        <v>148</v>
      </c>
      <c r="C90" s="4">
        <v>2024</v>
      </c>
      <c r="D90" s="4" t="s">
        <v>28</v>
      </c>
      <c r="E90" s="4">
        <v>2</v>
      </c>
      <c r="F90" s="4" t="s">
        <v>14</v>
      </c>
      <c r="G90" s="4">
        <v>66</v>
      </c>
      <c r="H90" s="4">
        <v>5</v>
      </c>
      <c r="I90" s="4">
        <v>0</v>
      </c>
      <c r="J90" s="4">
        <v>23</v>
      </c>
      <c r="K90" s="4" t="s">
        <v>224</v>
      </c>
    </row>
    <row r="91" spans="1:11" ht="53.15" customHeight="1" x14ac:dyDescent="0.35">
      <c r="A91" s="4" t="s">
        <v>225</v>
      </c>
      <c r="B91" s="4" t="s">
        <v>148</v>
      </c>
      <c r="C91" s="4">
        <v>2024</v>
      </c>
      <c r="D91" s="4" t="s">
        <v>28</v>
      </c>
      <c r="E91" s="4">
        <v>6</v>
      </c>
      <c r="F91" s="4" t="s">
        <v>14</v>
      </c>
      <c r="G91" s="4">
        <v>45</v>
      </c>
      <c r="H91" s="4">
        <v>8</v>
      </c>
      <c r="I91" s="4">
        <v>3</v>
      </c>
      <c r="J91" s="4">
        <v>34</v>
      </c>
      <c r="K91" s="4" t="s">
        <v>226</v>
      </c>
    </row>
    <row r="92" spans="1:11" ht="53.15" customHeight="1" x14ac:dyDescent="0.35">
      <c r="A92" s="4" t="s">
        <v>227</v>
      </c>
      <c r="B92" s="4" t="s">
        <v>148</v>
      </c>
      <c r="C92" s="4">
        <v>2024</v>
      </c>
      <c r="D92" s="4" t="s">
        <v>28</v>
      </c>
      <c r="E92" s="4">
        <v>7</v>
      </c>
      <c r="F92" s="4" t="s">
        <v>17</v>
      </c>
      <c r="G92" s="4">
        <v>109</v>
      </c>
      <c r="H92" s="4">
        <v>14</v>
      </c>
      <c r="I92" s="4">
        <v>5</v>
      </c>
      <c r="J92" s="4">
        <v>15</v>
      </c>
      <c r="K92" s="4" t="s">
        <v>228</v>
      </c>
    </row>
    <row r="93" spans="1:11" ht="53.15" customHeight="1" x14ac:dyDescent="0.35">
      <c r="A93" s="4" t="s">
        <v>229</v>
      </c>
      <c r="B93" s="4" t="s">
        <v>148</v>
      </c>
      <c r="C93" s="4">
        <v>2024</v>
      </c>
      <c r="D93" s="4" t="s">
        <v>28</v>
      </c>
      <c r="E93" s="4">
        <v>7</v>
      </c>
      <c r="F93" s="4" t="s">
        <v>42</v>
      </c>
      <c r="G93" s="4">
        <v>47</v>
      </c>
      <c r="H93" s="4">
        <v>5</v>
      </c>
      <c r="I93" s="4">
        <v>5</v>
      </c>
      <c r="J93" s="4">
        <v>20</v>
      </c>
      <c r="K93" s="4" t="s">
        <v>230</v>
      </c>
    </row>
    <row r="94" spans="1:11" ht="53.15" customHeight="1" x14ac:dyDescent="0.35">
      <c r="A94" s="4" t="s">
        <v>231</v>
      </c>
      <c r="B94" s="4" t="s">
        <v>148</v>
      </c>
      <c r="C94" s="4">
        <v>2024</v>
      </c>
      <c r="D94" s="4" t="s">
        <v>28</v>
      </c>
      <c r="E94" s="4">
        <v>6</v>
      </c>
      <c r="F94" s="4" t="s">
        <v>17</v>
      </c>
      <c r="G94" s="4">
        <v>102</v>
      </c>
      <c r="H94" s="4">
        <v>5</v>
      </c>
      <c r="I94" s="4">
        <v>1</v>
      </c>
      <c r="J94" s="4">
        <v>23</v>
      </c>
      <c r="K94" s="4" t="s">
        <v>232</v>
      </c>
    </row>
    <row r="95" spans="1:11" ht="53.15" customHeight="1" x14ac:dyDescent="0.35">
      <c r="A95" s="4" t="s">
        <v>233</v>
      </c>
      <c r="B95" s="4" t="s">
        <v>148</v>
      </c>
      <c r="C95" s="4">
        <v>2024</v>
      </c>
      <c r="D95" s="4" t="s">
        <v>28</v>
      </c>
      <c r="E95" s="4">
        <v>9</v>
      </c>
      <c r="F95" s="4" t="s">
        <v>17</v>
      </c>
      <c r="G95" s="4">
        <v>74</v>
      </c>
      <c r="H95" s="4">
        <v>20</v>
      </c>
      <c r="I95" s="4">
        <v>6</v>
      </c>
      <c r="J95" s="4">
        <v>14</v>
      </c>
      <c r="K95" s="4" t="s">
        <v>234</v>
      </c>
    </row>
    <row r="96" spans="1:11" ht="53.15" customHeight="1" x14ac:dyDescent="0.35">
      <c r="A96" s="4" t="s">
        <v>235</v>
      </c>
      <c r="B96" s="4" t="s">
        <v>148</v>
      </c>
      <c r="C96" s="4">
        <v>2024</v>
      </c>
      <c r="D96" s="4" t="s">
        <v>28</v>
      </c>
      <c r="E96" s="4">
        <v>6</v>
      </c>
      <c r="F96" s="4" t="s">
        <v>158</v>
      </c>
      <c r="G96" s="4">
        <v>74</v>
      </c>
      <c r="H96" s="4">
        <v>27</v>
      </c>
      <c r="I96" s="4">
        <v>1</v>
      </c>
      <c r="J96" s="4">
        <v>16</v>
      </c>
      <c r="K96" s="4" t="s">
        <v>236</v>
      </c>
    </row>
    <row r="97" spans="1:11" ht="53.15" customHeight="1" x14ac:dyDescent="0.35">
      <c r="A97" s="4" t="s">
        <v>237</v>
      </c>
      <c r="B97" s="4" t="s">
        <v>148</v>
      </c>
      <c r="C97" s="4">
        <v>2024</v>
      </c>
      <c r="D97" s="4" t="s">
        <v>28</v>
      </c>
      <c r="E97" s="4">
        <v>7</v>
      </c>
      <c r="F97" s="4" t="s">
        <v>14</v>
      </c>
      <c r="G97" s="4">
        <v>106</v>
      </c>
      <c r="H97" s="4">
        <v>2</v>
      </c>
      <c r="I97" s="4">
        <v>6</v>
      </c>
      <c r="J97" s="4">
        <v>17</v>
      </c>
      <c r="K97" s="4" t="s">
        <v>238</v>
      </c>
    </row>
    <row r="98" spans="1:11" ht="53.15" customHeight="1" x14ac:dyDescent="0.35">
      <c r="A98" s="4" t="s">
        <v>239</v>
      </c>
      <c r="B98" s="4" t="s">
        <v>148</v>
      </c>
      <c r="C98" s="4">
        <v>2024</v>
      </c>
      <c r="D98" s="4" t="s">
        <v>28</v>
      </c>
      <c r="E98" s="4">
        <v>9</v>
      </c>
      <c r="F98" s="4" t="s">
        <v>17</v>
      </c>
      <c r="G98" s="4">
        <v>91</v>
      </c>
      <c r="H98" s="4">
        <v>17</v>
      </c>
      <c r="I98" s="4">
        <v>5</v>
      </c>
      <c r="J98" s="4">
        <v>17</v>
      </c>
      <c r="K98" s="4" t="s">
        <v>240</v>
      </c>
    </row>
    <row r="99" spans="1:11" ht="53.15" customHeight="1" x14ac:dyDescent="0.35">
      <c r="A99" s="4" t="s">
        <v>241</v>
      </c>
      <c r="B99" s="4" t="s">
        <v>148</v>
      </c>
      <c r="C99" s="4">
        <v>2024</v>
      </c>
      <c r="D99" s="4" t="s">
        <v>28</v>
      </c>
      <c r="E99" s="4">
        <v>3</v>
      </c>
      <c r="F99" s="4" t="s">
        <v>17</v>
      </c>
      <c r="G99" s="4">
        <v>117</v>
      </c>
      <c r="H99" s="4">
        <v>2</v>
      </c>
      <c r="I99" s="4">
        <v>1</v>
      </c>
      <c r="J99" s="4">
        <v>27</v>
      </c>
      <c r="K99" s="4" t="s">
        <v>242</v>
      </c>
    </row>
    <row r="100" spans="1:11" ht="53.15" customHeight="1" x14ac:dyDescent="0.35">
      <c r="A100" s="4" t="s">
        <v>243</v>
      </c>
      <c r="B100" s="4" t="s">
        <v>148</v>
      </c>
      <c r="C100" s="4">
        <v>2024</v>
      </c>
      <c r="D100" s="4" t="s">
        <v>28</v>
      </c>
      <c r="E100" s="4">
        <v>8</v>
      </c>
      <c r="F100" s="4" t="s">
        <v>17</v>
      </c>
      <c r="G100" s="4">
        <v>95</v>
      </c>
      <c r="H100" s="4">
        <v>3</v>
      </c>
      <c r="I100" s="4">
        <v>7</v>
      </c>
      <c r="J100" s="4">
        <v>30</v>
      </c>
      <c r="K100" s="4" t="s">
        <v>244</v>
      </c>
    </row>
    <row r="101" spans="1:11" ht="53.15" customHeight="1" x14ac:dyDescent="0.35">
      <c r="A101" s="4" t="s">
        <v>245</v>
      </c>
      <c r="B101" s="4" t="s">
        <v>148</v>
      </c>
      <c r="C101" s="4">
        <v>2024</v>
      </c>
      <c r="D101" s="4" t="s">
        <v>28</v>
      </c>
      <c r="E101" s="4">
        <v>7</v>
      </c>
      <c r="F101" s="4" t="s">
        <v>17</v>
      </c>
      <c r="G101" s="4">
        <v>64</v>
      </c>
      <c r="H101" s="4">
        <v>32</v>
      </c>
      <c r="I101" s="4">
        <v>0</v>
      </c>
      <c r="J101" s="4">
        <v>12</v>
      </c>
      <c r="K101" s="4" t="s">
        <v>246</v>
      </c>
    </row>
    <row r="102" spans="1:11" ht="53.15" customHeight="1" x14ac:dyDescent="0.35">
      <c r="A102" s="4" t="s">
        <v>247</v>
      </c>
      <c r="B102" s="4" t="s">
        <v>148</v>
      </c>
      <c r="C102" s="4">
        <v>2024</v>
      </c>
      <c r="D102" s="4" t="s">
        <v>28</v>
      </c>
      <c r="E102" s="4">
        <v>2</v>
      </c>
      <c r="F102" s="4" t="s">
        <v>77</v>
      </c>
      <c r="G102" s="4">
        <v>45</v>
      </c>
      <c r="H102" s="4">
        <v>18</v>
      </c>
      <c r="I102" s="4">
        <v>5</v>
      </c>
      <c r="J102" s="4">
        <v>7</v>
      </c>
      <c r="K102" s="4" t="s">
        <v>248</v>
      </c>
    </row>
    <row r="103" spans="1:11" ht="53.15" customHeight="1" x14ac:dyDescent="0.35">
      <c r="A103" s="4" t="s">
        <v>249</v>
      </c>
      <c r="B103" s="4" t="s">
        <v>148</v>
      </c>
      <c r="C103" s="4">
        <v>2024</v>
      </c>
      <c r="D103" s="4" t="s">
        <v>28</v>
      </c>
      <c r="E103" s="4">
        <v>7</v>
      </c>
      <c r="F103" s="4" t="s">
        <v>14</v>
      </c>
      <c r="G103" s="4">
        <v>64</v>
      </c>
      <c r="H103" s="4">
        <v>6</v>
      </c>
      <c r="I103" s="4">
        <v>3</v>
      </c>
      <c r="J103" s="4">
        <v>17</v>
      </c>
      <c r="K103" s="4" t="s">
        <v>250</v>
      </c>
    </row>
    <row r="104" spans="1:11" ht="53.15" customHeight="1" x14ac:dyDescent="0.35">
      <c r="A104" s="4" t="s">
        <v>251</v>
      </c>
      <c r="B104" s="4" t="s">
        <v>148</v>
      </c>
      <c r="C104" s="4">
        <v>2024</v>
      </c>
      <c r="D104" s="4" t="s">
        <v>28</v>
      </c>
      <c r="E104" s="4">
        <v>4</v>
      </c>
      <c r="F104" s="4" t="s">
        <v>17</v>
      </c>
      <c r="G104" s="4">
        <v>59</v>
      </c>
      <c r="H104" s="4">
        <v>8</v>
      </c>
      <c r="I104" s="4">
        <v>2</v>
      </c>
      <c r="J104" s="4">
        <v>22</v>
      </c>
      <c r="K104" s="4" t="s">
        <v>252</v>
      </c>
    </row>
    <row r="105" spans="1:11" ht="53.15" customHeight="1" x14ac:dyDescent="0.35">
      <c r="A105" s="4" t="s">
        <v>253</v>
      </c>
      <c r="B105" s="4" t="s">
        <v>148</v>
      </c>
      <c r="C105" s="4">
        <v>2024</v>
      </c>
      <c r="D105" s="4" t="s">
        <v>28</v>
      </c>
      <c r="E105" s="4">
        <v>6</v>
      </c>
      <c r="F105" s="4" t="s">
        <v>254</v>
      </c>
      <c r="G105" s="4">
        <v>82</v>
      </c>
      <c r="H105" s="4">
        <v>18</v>
      </c>
      <c r="I105" s="4">
        <v>7</v>
      </c>
      <c r="J105" s="4">
        <v>13</v>
      </c>
      <c r="K105" s="4" t="s">
        <v>255</v>
      </c>
    </row>
    <row r="106" spans="1:11" ht="53.15" customHeight="1" x14ac:dyDescent="0.35">
      <c r="A106" s="4" t="s">
        <v>256</v>
      </c>
      <c r="B106" s="4" t="s">
        <v>148</v>
      </c>
      <c r="C106" s="4">
        <v>2024</v>
      </c>
      <c r="D106" s="4" t="s">
        <v>28</v>
      </c>
      <c r="E106" s="4">
        <v>9</v>
      </c>
      <c r="F106" s="4" t="s">
        <v>14</v>
      </c>
      <c r="G106" s="4">
        <v>59</v>
      </c>
      <c r="H106" s="4">
        <v>12</v>
      </c>
      <c r="I106" s="4">
        <v>0</v>
      </c>
      <c r="J106" s="4">
        <v>30</v>
      </c>
      <c r="K106" s="4" t="s">
        <v>257</v>
      </c>
    </row>
    <row r="107" spans="1:11" ht="53.15" customHeight="1" x14ac:dyDescent="0.35">
      <c r="A107" s="4" t="s">
        <v>258</v>
      </c>
      <c r="B107" s="4" t="s">
        <v>148</v>
      </c>
      <c r="C107" s="4">
        <v>2024</v>
      </c>
      <c r="D107" s="4" t="s">
        <v>28</v>
      </c>
      <c r="E107" s="4">
        <v>5</v>
      </c>
      <c r="F107" s="4" t="s">
        <v>259</v>
      </c>
      <c r="G107" s="4">
        <v>75</v>
      </c>
      <c r="H107" s="4">
        <v>2</v>
      </c>
      <c r="I107" s="4">
        <v>0</v>
      </c>
      <c r="J107" s="4">
        <v>24</v>
      </c>
      <c r="K107" s="4" t="s">
        <v>260</v>
      </c>
    </row>
    <row r="108" spans="1:11" ht="53.15" customHeight="1" x14ac:dyDescent="0.35">
      <c r="A108" s="4" t="s">
        <v>261</v>
      </c>
      <c r="B108" s="4" t="s">
        <v>148</v>
      </c>
      <c r="C108" s="4">
        <v>2024</v>
      </c>
      <c r="D108" s="4" t="s">
        <v>28</v>
      </c>
      <c r="E108" s="4">
        <v>5</v>
      </c>
      <c r="F108" s="4" t="s">
        <v>14</v>
      </c>
      <c r="G108" s="4">
        <v>99</v>
      </c>
      <c r="H108" s="4">
        <v>21</v>
      </c>
      <c r="I108" s="4">
        <v>1</v>
      </c>
      <c r="J108" s="4">
        <v>16</v>
      </c>
      <c r="K108" s="4" t="s">
        <v>262</v>
      </c>
    </row>
    <row r="109" spans="1:11" ht="53.15" customHeight="1" x14ac:dyDescent="0.35">
      <c r="A109" s="4" t="s">
        <v>263</v>
      </c>
      <c r="B109" s="4" t="s">
        <v>148</v>
      </c>
      <c r="C109" s="4">
        <v>2024</v>
      </c>
      <c r="D109" s="4" t="s">
        <v>28</v>
      </c>
      <c r="E109" s="4">
        <v>7</v>
      </c>
      <c r="F109" s="4" t="s">
        <v>14</v>
      </c>
      <c r="G109" s="4">
        <v>91</v>
      </c>
      <c r="H109" s="4">
        <v>10</v>
      </c>
      <c r="I109" s="4">
        <v>10</v>
      </c>
      <c r="J109" s="4">
        <v>15</v>
      </c>
      <c r="K109" s="4" t="s">
        <v>264</v>
      </c>
    </row>
    <row r="110" spans="1:11" ht="53.15" customHeight="1" x14ac:dyDescent="0.35">
      <c r="A110" s="4" t="s">
        <v>265</v>
      </c>
      <c r="B110" s="4" t="s">
        <v>148</v>
      </c>
      <c r="C110" s="4">
        <v>2024</v>
      </c>
      <c r="D110" s="4" t="s">
        <v>28</v>
      </c>
      <c r="E110" s="4">
        <v>8</v>
      </c>
      <c r="F110" s="4" t="s">
        <v>17</v>
      </c>
      <c r="G110" s="4">
        <v>42</v>
      </c>
      <c r="H110" s="4">
        <v>16</v>
      </c>
      <c r="I110" s="4">
        <v>2</v>
      </c>
      <c r="J110" s="4">
        <v>20</v>
      </c>
      <c r="K110" s="4" t="s">
        <v>266</v>
      </c>
    </row>
    <row r="111" spans="1:11" ht="53.15" customHeight="1" x14ac:dyDescent="0.35">
      <c r="A111" s="4" t="s">
        <v>267</v>
      </c>
      <c r="B111" s="4" t="s">
        <v>148</v>
      </c>
      <c r="C111" s="4">
        <v>2024</v>
      </c>
      <c r="D111" s="4" t="s">
        <v>28</v>
      </c>
      <c r="E111" s="4">
        <v>6</v>
      </c>
      <c r="F111" s="4" t="s">
        <v>17</v>
      </c>
      <c r="G111" s="4">
        <v>81</v>
      </c>
      <c r="H111" s="4">
        <v>11</v>
      </c>
      <c r="I111" s="4">
        <v>5</v>
      </c>
      <c r="J111" s="4">
        <v>10</v>
      </c>
      <c r="K111" s="4" t="s">
        <v>268</v>
      </c>
    </row>
    <row r="112" spans="1:11" ht="53.15" customHeight="1" x14ac:dyDescent="0.35">
      <c r="A112" s="4" t="s">
        <v>269</v>
      </c>
      <c r="B112" s="4" t="s">
        <v>148</v>
      </c>
      <c r="C112" s="4">
        <v>2024</v>
      </c>
      <c r="D112" s="4" t="s">
        <v>28</v>
      </c>
      <c r="E112" s="4">
        <v>5</v>
      </c>
      <c r="F112" s="4" t="s">
        <v>17</v>
      </c>
      <c r="G112" s="4">
        <v>102</v>
      </c>
      <c r="H112" s="4">
        <v>7</v>
      </c>
      <c r="I112" s="4">
        <v>0</v>
      </c>
      <c r="J112" s="4">
        <v>23</v>
      </c>
      <c r="K112" s="4" t="s">
        <v>270</v>
      </c>
    </row>
    <row r="113" spans="1:11" ht="53.15" customHeight="1" x14ac:dyDescent="0.35">
      <c r="A113" s="4" t="s">
        <v>271</v>
      </c>
      <c r="B113" s="4" t="s">
        <v>148</v>
      </c>
      <c r="C113" s="4">
        <v>2024</v>
      </c>
      <c r="D113" s="4" t="s">
        <v>28</v>
      </c>
      <c r="E113" s="4">
        <v>7</v>
      </c>
      <c r="F113" s="4" t="s">
        <v>14</v>
      </c>
      <c r="G113" s="4">
        <v>81</v>
      </c>
      <c r="H113" s="4">
        <v>4</v>
      </c>
      <c r="I113" s="4">
        <v>3</v>
      </c>
      <c r="J113" s="4">
        <v>15</v>
      </c>
      <c r="K113" s="4" t="s">
        <v>272</v>
      </c>
    </row>
    <row r="114" spans="1:11" ht="53.15" customHeight="1" x14ac:dyDescent="0.35">
      <c r="A114" s="4" t="s">
        <v>273</v>
      </c>
      <c r="B114" s="4" t="s">
        <v>148</v>
      </c>
      <c r="C114" s="4">
        <v>2024</v>
      </c>
      <c r="D114" s="4" t="s">
        <v>28</v>
      </c>
      <c r="E114" s="4">
        <v>6</v>
      </c>
      <c r="F114" s="4" t="s">
        <v>17</v>
      </c>
      <c r="G114" s="4">
        <v>123</v>
      </c>
      <c r="H114" s="4">
        <v>24</v>
      </c>
      <c r="I114" s="4">
        <v>4</v>
      </c>
      <c r="J114" s="4">
        <v>10</v>
      </c>
      <c r="K114" s="4" t="s">
        <v>274</v>
      </c>
    </row>
    <row r="115" spans="1:11" ht="53.15" hidden="1" customHeight="1" x14ac:dyDescent="0.35">
      <c r="A115" s="4" t="s">
        <v>275</v>
      </c>
      <c r="B115" s="4" t="s">
        <v>117</v>
      </c>
      <c r="C115" s="4">
        <v>2024</v>
      </c>
      <c r="D115" s="4" t="s">
        <v>42</v>
      </c>
      <c r="E115" s="4">
        <v>3</v>
      </c>
      <c r="F115" s="4" t="s">
        <v>51</v>
      </c>
      <c r="G115" s="4">
        <v>16</v>
      </c>
      <c r="H115" s="4">
        <v>4</v>
      </c>
      <c r="I115" s="4">
        <v>1</v>
      </c>
      <c r="J115" s="4">
        <v>4</v>
      </c>
      <c r="K115" s="4" t="s">
        <v>276</v>
      </c>
    </row>
    <row r="116" spans="1:11" ht="53.15" hidden="1" customHeight="1" x14ac:dyDescent="0.35">
      <c r="A116" s="4" t="s">
        <v>277</v>
      </c>
      <c r="B116" s="4" t="s">
        <v>117</v>
      </c>
      <c r="C116" s="4">
        <v>2024</v>
      </c>
      <c r="D116" s="4" t="s">
        <v>42</v>
      </c>
      <c r="E116" s="4">
        <v>6</v>
      </c>
      <c r="F116" s="4" t="s">
        <v>32</v>
      </c>
      <c r="G116" s="4">
        <v>16</v>
      </c>
      <c r="H116" s="4">
        <v>0</v>
      </c>
      <c r="I116" s="4">
        <v>0</v>
      </c>
      <c r="J116" s="4">
        <v>7</v>
      </c>
      <c r="K116" s="4" t="s">
        <v>278</v>
      </c>
    </row>
    <row r="117" spans="1:11" ht="53.15" hidden="1" customHeight="1" x14ac:dyDescent="0.35">
      <c r="A117" s="4" t="s">
        <v>279</v>
      </c>
      <c r="B117" s="4" t="s">
        <v>117</v>
      </c>
      <c r="C117" s="4">
        <v>2024</v>
      </c>
      <c r="D117" s="4" t="s">
        <v>42</v>
      </c>
      <c r="E117" s="4">
        <v>5</v>
      </c>
      <c r="F117" s="4" t="s">
        <v>128</v>
      </c>
      <c r="G117" s="4">
        <v>20</v>
      </c>
      <c r="H117" s="4">
        <v>2</v>
      </c>
      <c r="I117" s="4">
        <v>6</v>
      </c>
      <c r="J117" s="4">
        <v>4</v>
      </c>
      <c r="K117" s="4" t="s">
        <v>280</v>
      </c>
    </row>
    <row r="118" spans="1:11" ht="53.15" hidden="1" customHeight="1" x14ac:dyDescent="0.35">
      <c r="A118" s="4" t="s">
        <v>281</v>
      </c>
      <c r="B118" s="4" t="s">
        <v>117</v>
      </c>
      <c r="C118" s="4">
        <v>2024</v>
      </c>
      <c r="D118" s="4" t="s">
        <v>42</v>
      </c>
      <c r="E118" s="4">
        <v>5</v>
      </c>
      <c r="F118" s="4" t="s">
        <v>128</v>
      </c>
      <c r="G118" s="4">
        <v>19</v>
      </c>
      <c r="H118" s="4">
        <v>5</v>
      </c>
      <c r="I118" s="4">
        <v>2</v>
      </c>
      <c r="J118" s="4">
        <v>5</v>
      </c>
      <c r="K118" s="4" t="s">
        <v>282</v>
      </c>
    </row>
    <row r="119" spans="1:11" ht="53.15" hidden="1" customHeight="1" x14ac:dyDescent="0.35">
      <c r="A119" s="4" t="s">
        <v>283</v>
      </c>
      <c r="B119" s="4" t="s">
        <v>117</v>
      </c>
      <c r="C119" s="4">
        <v>2024</v>
      </c>
      <c r="D119" s="4" t="s">
        <v>42</v>
      </c>
      <c r="E119" s="4">
        <v>4</v>
      </c>
      <c r="F119" s="4" t="s">
        <v>128</v>
      </c>
      <c r="G119" s="4">
        <v>21</v>
      </c>
      <c r="H119" s="4">
        <v>3</v>
      </c>
      <c r="I119" s="4">
        <v>1</v>
      </c>
      <c r="J119" s="4">
        <v>1</v>
      </c>
      <c r="K119" s="4" t="s">
        <v>284</v>
      </c>
    </row>
    <row r="120" spans="1:11" ht="53.15" hidden="1" customHeight="1" x14ac:dyDescent="0.35">
      <c r="A120" s="4" t="s">
        <v>285</v>
      </c>
      <c r="B120" s="4" t="s">
        <v>117</v>
      </c>
      <c r="C120" s="4">
        <v>2024</v>
      </c>
      <c r="D120" s="4" t="s">
        <v>42</v>
      </c>
      <c r="E120" s="4">
        <v>7</v>
      </c>
      <c r="F120" s="4" t="s">
        <v>14</v>
      </c>
      <c r="G120" s="4">
        <v>9</v>
      </c>
      <c r="H120" s="4">
        <v>0</v>
      </c>
      <c r="I120" s="4">
        <v>0</v>
      </c>
      <c r="J120" s="4">
        <v>5</v>
      </c>
      <c r="K120" s="4" t="s">
        <v>286</v>
      </c>
    </row>
    <row r="121" spans="1:11" ht="53.15" hidden="1" customHeight="1" x14ac:dyDescent="0.35">
      <c r="A121" s="4" t="s">
        <v>287</v>
      </c>
      <c r="B121" s="4" t="s">
        <v>117</v>
      </c>
      <c r="C121" s="4">
        <v>2024</v>
      </c>
      <c r="D121" s="4" t="s">
        <v>42</v>
      </c>
      <c r="E121" s="4">
        <v>4</v>
      </c>
      <c r="F121" s="4" t="s">
        <v>14</v>
      </c>
      <c r="G121" s="4">
        <v>13</v>
      </c>
      <c r="H121" s="4">
        <v>1</v>
      </c>
      <c r="I121" s="4">
        <v>0</v>
      </c>
      <c r="J121" s="4">
        <v>7</v>
      </c>
      <c r="K121" s="4" t="s">
        <v>288</v>
      </c>
    </row>
    <row r="122" spans="1:11" ht="53.15" hidden="1" customHeight="1" x14ac:dyDescent="0.35">
      <c r="A122" s="4" t="s">
        <v>289</v>
      </c>
      <c r="B122" s="4" t="s">
        <v>117</v>
      </c>
      <c r="C122" s="4">
        <v>2024</v>
      </c>
      <c r="D122" s="4" t="s">
        <v>42</v>
      </c>
      <c r="E122" s="4">
        <v>4</v>
      </c>
      <c r="F122" s="4" t="s">
        <v>14</v>
      </c>
      <c r="G122" s="4">
        <v>18</v>
      </c>
      <c r="H122" s="4">
        <v>2</v>
      </c>
      <c r="I122" s="4">
        <v>1</v>
      </c>
      <c r="J122" s="4">
        <v>4</v>
      </c>
      <c r="K122" s="4" t="s">
        <v>290</v>
      </c>
    </row>
    <row r="123" spans="1:11" ht="53.15" hidden="1" customHeight="1" x14ac:dyDescent="0.35">
      <c r="A123" s="4" t="s">
        <v>291</v>
      </c>
      <c r="B123" s="4" t="s">
        <v>117</v>
      </c>
      <c r="C123" s="4">
        <v>2024</v>
      </c>
      <c r="D123" s="4" t="s">
        <v>42</v>
      </c>
      <c r="E123" s="4">
        <v>6</v>
      </c>
      <c r="F123" s="4" t="s">
        <v>14</v>
      </c>
      <c r="G123" s="4">
        <v>6</v>
      </c>
      <c r="H123" s="4">
        <v>10</v>
      </c>
      <c r="I123" s="4">
        <v>2</v>
      </c>
      <c r="J123" s="4">
        <v>3</v>
      </c>
      <c r="K123" s="4" t="s">
        <v>292</v>
      </c>
    </row>
    <row r="124" spans="1:11" ht="53.15" hidden="1" customHeight="1" x14ac:dyDescent="0.35">
      <c r="A124" s="4" t="s">
        <v>293</v>
      </c>
      <c r="B124" s="4" t="s">
        <v>117</v>
      </c>
      <c r="C124" s="4">
        <v>2024</v>
      </c>
      <c r="D124" s="4" t="s">
        <v>42</v>
      </c>
      <c r="E124" s="4">
        <v>3</v>
      </c>
      <c r="F124" s="4" t="s">
        <v>14</v>
      </c>
      <c r="G124" s="4">
        <v>0</v>
      </c>
      <c r="H124" s="4">
        <v>0</v>
      </c>
      <c r="I124" s="4">
        <v>0</v>
      </c>
      <c r="J124" s="4">
        <v>3</v>
      </c>
      <c r="K124" s="4" t="s">
        <v>294</v>
      </c>
    </row>
    <row r="125" spans="1:11" ht="53.15" hidden="1" customHeight="1" x14ac:dyDescent="0.35">
      <c r="A125" s="4" t="s">
        <v>295</v>
      </c>
      <c r="B125" s="4" t="s">
        <v>117</v>
      </c>
      <c r="C125" s="4">
        <v>2024</v>
      </c>
      <c r="D125" s="4" t="s">
        <v>42</v>
      </c>
      <c r="E125" s="4">
        <v>7</v>
      </c>
      <c r="F125" s="4" t="s">
        <v>14</v>
      </c>
      <c r="G125" s="4">
        <v>15</v>
      </c>
      <c r="H125" s="4">
        <v>3</v>
      </c>
      <c r="I125" s="4">
        <v>1</v>
      </c>
      <c r="J125" s="4">
        <v>5</v>
      </c>
      <c r="K125" s="4" t="s">
        <v>296</v>
      </c>
    </row>
    <row r="126" spans="1:11" ht="53.15" hidden="1" customHeight="1" x14ac:dyDescent="0.35">
      <c r="A126" s="4" t="s">
        <v>297</v>
      </c>
      <c r="B126" s="4" t="s">
        <v>117</v>
      </c>
      <c r="C126" s="4">
        <v>2024</v>
      </c>
      <c r="D126" s="4" t="s">
        <v>42</v>
      </c>
      <c r="E126" s="4">
        <v>6</v>
      </c>
      <c r="F126" s="4" t="s">
        <v>254</v>
      </c>
      <c r="G126" s="4">
        <v>18</v>
      </c>
      <c r="H126" s="4">
        <v>3</v>
      </c>
      <c r="I126" s="4">
        <v>0</v>
      </c>
      <c r="J126" s="4">
        <v>6</v>
      </c>
      <c r="K126" s="4" t="s">
        <v>298</v>
      </c>
    </row>
    <row r="127" spans="1:11" ht="53.15" hidden="1" customHeight="1" x14ac:dyDescent="0.35">
      <c r="A127" s="4" t="s">
        <v>299</v>
      </c>
      <c r="B127" s="4" t="s">
        <v>117</v>
      </c>
      <c r="C127" s="4">
        <v>2024</v>
      </c>
      <c r="D127" s="4" t="s">
        <v>42</v>
      </c>
      <c r="E127" s="4">
        <v>4</v>
      </c>
      <c r="F127" s="4" t="s">
        <v>42</v>
      </c>
      <c r="G127" s="4">
        <v>14</v>
      </c>
      <c r="H127" s="4">
        <v>0</v>
      </c>
      <c r="I127" s="4">
        <v>0</v>
      </c>
      <c r="J127" s="4">
        <v>8</v>
      </c>
      <c r="K127" s="4" t="s">
        <v>300</v>
      </c>
    </row>
    <row r="128" spans="1:11" ht="53.15" hidden="1" customHeight="1" x14ac:dyDescent="0.35">
      <c r="A128" s="4" t="s">
        <v>301</v>
      </c>
      <c r="B128" s="4" t="s">
        <v>117</v>
      </c>
      <c r="C128" s="4">
        <v>2024</v>
      </c>
      <c r="D128" s="4" t="s">
        <v>42</v>
      </c>
      <c r="E128" s="4">
        <v>2</v>
      </c>
      <c r="F128" s="4" t="s">
        <v>175</v>
      </c>
      <c r="G128" s="4">
        <v>21</v>
      </c>
      <c r="H128" s="4">
        <v>2</v>
      </c>
      <c r="I128" s="4">
        <v>1</v>
      </c>
      <c r="J128" s="4">
        <v>2</v>
      </c>
      <c r="K128" s="4" t="s">
        <v>302</v>
      </c>
    </row>
    <row r="129" spans="1:11" ht="53.15" hidden="1" customHeight="1" x14ac:dyDescent="0.35">
      <c r="A129" s="4" t="s">
        <v>303</v>
      </c>
      <c r="B129" s="4" t="s">
        <v>117</v>
      </c>
      <c r="C129" s="4">
        <v>2024</v>
      </c>
      <c r="D129" s="4" t="s">
        <v>42</v>
      </c>
      <c r="E129" s="4">
        <v>3</v>
      </c>
      <c r="F129" s="4" t="s">
        <v>42</v>
      </c>
      <c r="G129" s="4">
        <v>18</v>
      </c>
      <c r="H129" s="4">
        <v>2</v>
      </c>
      <c r="I129" s="4">
        <v>2</v>
      </c>
      <c r="J129" s="4">
        <v>1</v>
      </c>
      <c r="K129" s="4" t="s">
        <v>304</v>
      </c>
    </row>
    <row r="130" spans="1:11" ht="53.15" hidden="1" customHeight="1" x14ac:dyDescent="0.35">
      <c r="A130" s="4" t="s">
        <v>305</v>
      </c>
      <c r="B130" s="4" t="s">
        <v>117</v>
      </c>
      <c r="C130" s="4">
        <v>2024</v>
      </c>
      <c r="D130" s="4" t="s">
        <v>42</v>
      </c>
      <c r="E130" s="4">
        <v>3</v>
      </c>
      <c r="F130" s="4" t="s">
        <v>77</v>
      </c>
      <c r="G130" s="4">
        <v>16</v>
      </c>
      <c r="H130" s="4">
        <v>1</v>
      </c>
      <c r="I130" s="4">
        <v>0</v>
      </c>
      <c r="J130" s="4">
        <v>2</v>
      </c>
      <c r="K130" s="4" t="s">
        <v>306</v>
      </c>
    </row>
    <row r="131" spans="1:11" ht="53.15" hidden="1" customHeight="1" x14ac:dyDescent="0.35">
      <c r="A131" s="4" t="s">
        <v>307</v>
      </c>
      <c r="B131" s="4" t="s">
        <v>117</v>
      </c>
      <c r="C131" s="4">
        <v>2024</v>
      </c>
      <c r="D131" s="4" t="s">
        <v>42</v>
      </c>
      <c r="E131" s="4">
        <v>3</v>
      </c>
      <c r="F131" s="4" t="s">
        <v>77</v>
      </c>
      <c r="G131" s="4">
        <v>20</v>
      </c>
      <c r="H131" s="4">
        <v>1</v>
      </c>
      <c r="I131" s="4">
        <v>0</v>
      </c>
      <c r="J131" s="4">
        <v>7</v>
      </c>
      <c r="K131" s="4" t="s">
        <v>308</v>
      </c>
    </row>
    <row r="132" spans="1:11" ht="53.15" hidden="1" customHeight="1" x14ac:dyDescent="0.35">
      <c r="A132" s="4" t="s">
        <v>309</v>
      </c>
      <c r="B132" s="4" t="s">
        <v>117</v>
      </c>
      <c r="C132" s="4">
        <v>2024</v>
      </c>
      <c r="D132" s="4" t="s">
        <v>42</v>
      </c>
      <c r="E132" s="4">
        <v>3</v>
      </c>
      <c r="F132" s="4" t="s">
        <v>77</v>
      </c>
      <c r="G132" s="4">
        <v>33</v>
      </c>
      <c r="H132" s="4">
        <v>10</v>
      </c>
      <c r="I132" s="4">
        <v>0</v>
      </c>
      <c r="J132" s="4">
        <v>1</v>
      </c>
      <c r="K132" s="4" t="s">
        <v>310</v>
      </c>
    </row>
    <row r="133" spans="1:11" ht="53.15" hidden="1" customHeight="1" x14ac:dyDescent="0.35">
      <c r="A133" s="4" t="s">
        <v>311</v>
      </c>
      <c r="B133" s="4" t="s">
        <v>117</v>
      </c>
      <c r="C133" s="4">
        <v>2024</v>
      </c>
      <c r="D133" s="4" t="s">
        <v>42</v>
      </c>
      <c r="E133" s="4">
        <v>7</v>
      </c>
      <c r="F133" s="4" t="s">
        <v>42</v>
      </c>
      <c r="G133" s="4">
        <v>24</v>
      </c>
      <c r="H133" s="4">
        <v>15</v>
      </c>
      <c r="I133" s="4">
        <v>1</v>
      </c>
      <c r="J133" s="4">
        <v>6</v>
      </c>
      <c r="K133" s="4" t="s">
        <v>312</v>
      </c>
    </row>
    <row r="134" spans="1:11" ht="53.15" hidden="1" customHeight="1" x14ac:dyDescent="0.35">
      <c r="A134" s="4" t="s">
        <v>313</v>
      </c>
      <c r="B134" s="4" t="s">
        <v>117</v>
      </c>
      <c r="C134" s="4">
        <v>2024</v>
      </c>
      <c r="D134" s="4" t="s">
        <v>42</v>
      </c>
      <c r="E134" s="4">
        <v>3</v>
      </c>
      <c r="F134" s="4" t="s">
        <v>118</v>
      </c>
      <c r="G134" s="4">
        <v>16</v>
      </c>
      <c r="H134" s="4">
        <v>1</v>
      </c>
      <c r="I134" s="4">
        <v>1</v>
      </c>
      <c r="J134" s="4">
        <v>6</v>
      </c>
      <c r="K134" s="4" t="s">
        <v>314</v>
      </c>
    </row>
    <row r="135" spans="1:11" ht="53.15" hidden="1" customHeight="1" x14ac:dyDescent="0.35">
      <c r="A135" s="4" t="s">
        <v>315</v>
      </c>
      <c r="B135" s="4" t="s">
        <v>117</v>
      </c>
      <c r="C135" s="4">
        <v>2024</v>
      </c>
      <c r="D135" s="4" t="s">
        <v>42</v>
      </c>
      <c r="E135" s="4">
        <v>7</v>
      </c>
      <c r="F135" s="4" t="s">
        <v>92</v>
      </c>
      <c r="G135" s="4">
        <v>40</v>
      </c>
      <c r="H135" s="4">
        <v>0</v>
      </c>
      <c r="I135" s="4">
        <v>7</v>
      </c>
      <c r="J135" s="4">
        <v>7</v>
      </c>
      <c r="K135" s="4" t="s">
        <v>316</v>
      </c>
    </row>
    <row r="136" spans="1:11" ht="53.15" hidden="1" customHeight="1" x14ac:dyDescent="0.35">
      <c r="A136" s="4" t="s">
        <v>317</v>
      </c>
      <c r="B136" s="4" t="s">
        <v>117</v>
      </c>
      <c r="C136" s="4">
        <v>2024</v>
      </c>
      <c r="D136" s="4" t="s">
        <v>42</v>
      </c>
      <c r="E136" s="4">
        <v>2</v>
      </c>
      <c r="F136" s="4" t="s">
        <v>318</v>
      </c>
      <c r="G136" s="4">
        <v>29</v>
      </c>
      <c r="H136" s="4">
        <v>6</v>
      </c>
      <c r="I136" s="4">
        <v>2</v>
      </c>
      <c r="J136" s="4">
        <v>0</v>
      </c>
      <c r="K136" s="4" t="s">
        <v>319</v>
      </c>
    </row>
    <row r="137" spans="1:11" ht="53.15" hidden="1" customHeight="1" x14ac:dyDescent="0.35">
      <c r="A137" s="4" t="s">
        <v>320</v>
      </c>
      <c r="B137" s="4" t="s">
        <v>117</v>
      </c>
      <c r="C137" s="4">
        <v>2024</v>
      </c>
      <c r="D137" s="4" t="s">
        <v>42</v>
      </c>
      <c r="E137" s="4">
        <v>6</v>
      </c>
      <c r="F137" s="4" t="s">
        <v>321</v>
      </c>
      <c r="G137" s="4">
        <v>17</v>
      </c>
      <c r="H137" s="4">
        <v>0</v>
      </c>
      <c r="I137" s="4">
        <v>4</v>
      </c>
      <c r="J137" s="4">
        <v>5</v>
      </c>
      <c r="K137" s="4" t="s">
        <v>322</v>
      </c>
    </row>
    <row r="138" spans="1:11" ht="53.15" hidden="1" customHeight="1" x14ac:dyDescent="0.35">
      <c r="A138" s="4" t="s">
        <v>323</v>
      </c>
      <c r="B138" s="4" t="s">
        <v>117</v>
      </c>
      <c r="C138" s="4">
        <v>2024</v>
      </c>
      <c r="D138" s="4" t="s">
        <v>42</v>
      </c>
      <c r="E138" s="4">
        <v>2</v>
      </c>
      <c r="F138" s="4" t="s">
        <v>42</v>
      </c>
      <c r="G138" s="4">
        <v>30</v>
      </c>
      <c r="H138" s="4">
        <v>0</v>
      </c>
      <c r="I138" s="4">
        <v>0</v>
      </c>
      <c r="J138" s="4">
        <v>0</v>
      </c>
      <c r="K138" s="4" t="s">
        <v>324</v>
      </c>
    </row>
    <row r="139" spans="1:11" ht="53.15" hidden="1" customHeight="1" x14ac:dyDescent="0.35">
      <c r="A139" s="4" t="s">
        <v>325</v>
      </c>
      <c r="B139" s="4" t="s">
        <v>117</v>
      </c>
      <c r="C139" s="4">
        <v>2024</v>
      </c>
      <c r="D139" s="4" t="s">
        <v>42</v>
      </c>
      <c r="E139" s="4">
        <v>3</v>
      </c>
      <c r="F139" s="4" t="s">
        <v>42</v>
      </c>
      <c r="G139" s="4">
        <v>19</v>
      </c>
      <c r="H139" s="4">
        <v>0</v>
      </c>
      <c r="I139" s="4">
        <v>0</v>
      </c>
      <c r="J139" s="4">
        <v>6</v>
      </c>
      <c r="K139" s="4" t="s">
        <v>326</v>
      </c>
    </row>
    <row r="140" spans="1:11" ht="53.15" hidden="1" customHeight="1" x14ac:dyDescent="0.35">
      <c r="A140" s="4" t="s">
        <v>327</v>
      </c>
      <c r="B140" s="4" t="s">
        <v>117</v>
      </c>
      <c r="C140" s="4">
        <v>2024</v>
      </c>
      <c r="D140" s="4" t="s">
        <v>42</v>
      </c>
      <c r="E140" s="4">
        <v>2</v>
      </c>
      <c r="F140" s="4" t="s">
        <v>14</v>
      </c>
      <c r="G140" s="4">
        <v>22</v>
      </c>
      <c r="H140" s="4">
        <v>1</v>
      </c>
      <c r="I140" s="4">
        <v>2</v>
      </c>
      <c r="J140" s="4">
        <v>8</v>
      </c>
      <c r="K140" s="4" t="s">
        <v>328</v>
      </c>
    </row>
    <row r="141" spans="1:11" ht="53.15" hidden="1" customHeight="1" x14ac:dyDescent="0.35">
      <c r="A141" s="4" t="s">
        <v>329</v>
      </c>
      <c r="B141" s="4" t="s">
        <v>117</v>
      </c>
      <c r="C141" s="4">
        <v>2024</v>
      </c>
      <c r="D141" s="4" t="s">
        <v>42</v>
      </c>
      <c r="E141" s="4">
        <v>3</v>
      </c>
      <c r="F141" s="4" t="s">
        <v>42</v>
      </c>
      <c r="G141" s="4">
        <v>10</v>
      </c>
      <c r="H141" s="4">
        <v>2</v>
      </c>
      <c r="I141" s="4">
        <v>7</v>
      </c>
      <c r="J141" s="4">
        <v>0</v>
      </c>
      <c r="K141" s="4" t="s">
        <v>330</v>
      </c>
    </row>
    <row r="142" spans="1:11" ht="53.15" hidden="1" customHeight="1" x14ac:dyDescent="0.35">
      <c r="A142" s="4" t="s">
        <v>331</v>
      </c>
      <c r="B142" s="4" t="s">
        <v>117</v>
      </c>
      <c r="C142" s="4">
        <v>2024</v>
      </c>
      <c r="D142" s="4" t="s">
        <v>42</v>
      </c>
      <c r="E142" s="4">
        <v>2</v>
      </c>
      <c r="F142" s="4" t="s">
        <v>77</v>
      </c>
      <c r="G142" s="4">
        <v>27</v>
      </c>
      <c r="H142" s="4">
        <v>2</v>
      </c>
      <c r="I142" s="4">
        <v>0</v>
      </c>
      <c r="J142" s="4">
        <v>1</v>
      </c>
      <c r="K142" s="4" t="s">
        <v>332</v>
      </c>
    </row>
    <row r="143" spans="1:11" ht="53.15" hidden="1" customHeight="1" x14ac:dyDescent="0.35">
      <c r="A143" s="4" t="s">
        <v>333</v>
      </c>
      <c r="B143" s="4" t="s">
        <v>117</v>
      </c>
      <c r="C143" s="4">
        <v>2024</v>
      </c>
      <c r="D143" s="4" t="s">
        <v>42</v>
      </c>
      <c r="E143" s="4">
        <v>12</v>
      </c>
      <c r="F143" s="4" t="s">
        <v>77</v>
      </c>
      <c r="G143" s="4">
        <v>18</v>
      </c>
      <c r="H143" s="4">
        <v>0</v>
      </c>
      <c r="I143" s="4">
        <v>0</v>
      </c>
      <c r="J143" s="4">
        <v>9</v>
      </c>
      <c r="K143" s="4" t="s">
        <v>334</v>
      </c>
    </row>
    <row r="144" spans="1:11" ht="53.15" hidden="1" customHeight="1" x14ac:dyDescent="0.35">
      <c r="A144" s="4" t="s">
        <v>335</v>
      </c>
      <c r="B144" s="4" t="s">
        <v>117</v>
      </c>
      <c r="C144" s="4">
        <v>2024</v>
      </c>
      <c r="D144" s="4" t="s">
        <v>42</v>
      </c>
      <c r="E144" s="4">
        <v>3</v>
      </c>
      <c r="F144" s="4" t="s">
        <v>42</v>
      </c>
      <c r="G144" s="4">
        <v>30</v>
      </c>
      <c r="H144" s="4">
        <v>0</v>
      </c>
      <c r="I144" s="4">
        <v>0</v>
      </c>
      <c r="J144" s="4">
        <v>4</v>
      </c>
      <c r="K144" s="4" t="s">
        <v>336</v>
      </c>
    </row>
    <row r="145" spans="1:11" ht="53.15" hidden="1" customHeight="1" x14ac:dyDescent="0.35">
      <c r="A145" s="4" t="s">
        <v>337</v>
      </c>
      <c r="B145" s="4" t="s">
        <v>117</v>
      </c>
      <c r="C145" s="4">
        <v>2024</v>
      </c>
      <c r="D145" s="4" t="s">
        <v>42</v>
      </c>
      <c r="E145" s="4">
        <v>7</v>
      </c>
      <c r="F145" s="4" t="s">
        <v>77</v>
      </c>
      <c r="G145" s="4">
        <v>11</v>
      </c>
      <c r="H145" s="4">
        <v>0</v>
      </c>
      <c r="I145" s="4">
        <v>1</v>
      </c>
      <c r="J145" s="4">
        <v>6</v>
      </c>
      <c r="K145" s="4" t="s">
        <v>338</v>
      </c>
    </row>
    <row r="146" spans="1:11" ht="53.15" hidden="1" customHeight="1" x14ac:dyDescent="0.35">
      <c r="A146" s="4" t="s">
        <v>339</v>
      </c>
      <c r="B146" s="4" t="s">
        <v>117</v>
      </c>
      <c r="C146" s="4">
        <v>2024</v>
      </c>
      <c r="D146" s="4" t="s">
        <v>42</v>
      </c>
      <c r="E146" s="4">
        <v>3</v>
      </c>
      <c r="F146" s="4" t="s">
        <v>17</v>
      </c>
      <c r="G146" s="4">
        <v>21</v>
      </c>
      <c r="H146" s="4">
        <v>3</v>
      </c>
      <c r="I146" s="4">
        <v>0</v>
      </c>
      <c r="J146" s="4">
        <v>3</v>
      </c>
      <c r="K146" s="4" t="s">
        <v>340</v>
      </c>
    </row>
    <row r="147" spans="1:11" ht="53.15" hidden="1" customHeight="1" x14ac:dyDescent="0.35">
      <c r="A147" s="4" t="s">
        <v>341</v>
      </c>
      <c r="B147" s="4" t="s">
        <v>117</v>
      </c>
      <c r="C147" s="4">
        <v>2024</v>
      </c>
      <c r="D147" s="4" t="s">
        <v>42</v>
      </c>
      <c r="E147" s="4">
        <v>5</v>
      </c>
      <c r="F147" s="4" t="s">
        <v>17</v>
      </c>
      <c r="G147" s="4">
        <v>16</v>
      </c>
      <c r="H147" s="4">
        <v>4</v>
      </c>
      <c r="I147" s="4">
        <v>0</v>
      </c>
      <c r="J147" s="4">
        <v>4</v>
      </c>
      <c r="K147" s="4" t="s">
        <v>342</v>
      </c>
    </row>
    <row r="148" spans="1:11" ht="53.15" hidden="1" customHeight="1" x14ac:dyDescent="0.35">
      <c r="A148" s="4" t="s">
        <v>343</v>
      </c>
      <c r="B148" s="4" t="s">
        <v>117</v>
      </c>
      <c r="C148" s="4">
        <v>2024</v>
      </c>
      <c r="D148" s="4" t="s">
        <v>42</v>
      </c>
      <c r="E148" s="4">
        <v>4</v>
      </c>
      <c r="F148" s="4" t="s">
        <v>42</v>
      </c>
      <c r="G148" s="4">
        <v>14</v>
      </c>
      <c r="H148" s="4">
        <v>1</v>
      </c>
      <c r="I148" s="4">
        <v>1</v>
      </c>
      <c r="J148" s="4">
        <v>2</v>
      </c>
      <c r="K148" s="4" t="s">
        <v>344</v>
      </c>
    </row>
    <row r="149" spans="1:11" ht="53.15" hidden="1" customHeight="1" x14ac:dyDescent="0.35">
      <c r="A149" s="4" t="s">
        <v>345</v>
      </c>
      <c r="B149" s="4" t="s">
        <v>117</v>
      </c>
      <c r="C149" s="4">
        <v>2024</v>
      </c>
      <c r="D149" s="4" t="s">
        <v>42</v>
      </c>
      <c r="E149" s="4">
        <v>3</v>
      </c>
      <c r="F149" s="4" t="s">
        <v>17</v>
      </c>
      <c r="G149" s="4">
        <v>30</v>
      </c>
      <c r="H149" s="4">
        <v>25</v>
      </c>
      <c r="I149" s="4">
        <v>6</v>
      </c>
      <c r="J149" s="4">
        <v>3</v>
      </c>
      <c r="K149" s="4" t="s">
        <v>346</v>
      </c>
    </row>
    <row r="150" spans="1:11" ht="53.15" hidden="1" customHeight="1" x14ac:dyDescent="0.35">
      <c r="A150" s="4" t="s">
        <v>347</v>
      </c>
      <c r="B150" s="4" t="s">
        <v>117</v>
      </c>
      <c r="C150" s="4">
        <v>2024</v>
      </c>
      <c r="D150" s="4" t="s">
        <v>42</v>
      </c>
      <c r="E150" s="4">
        <v>3</v>
      </c>
      <c r="F150" s="4" t="s">
        <v>42</v>
      </c>
      <c r="G150" s="4">
        <v>17</v>
      </c>
      <c r="H150" s="4">
        <v>4</v>
      </c>
      <c r="I150" s="4">
        <v>1</v>
      </c>
      <c r="J150" s="4">
        <v>9</v>
      </c>
      <c r="K150" s="4" t="s">
        <v>348</v>
      </c>
    </row>
    <row r="151" spans="1:11" ht="53.15" hidden="1" customHeight="1" x14ac:dyDescent="0.35">
      <c r="A151" s="4" t="s">
        <v>349</v>
      </c>
      <c r="B151" s="4" t="s">
        <v>117</v>
      </c>
      <c r="C151" s="4">
        <v>2024</v>
      </c>
      <c r="D151" s="4" t="s">
        <v>42</v>
      </c>
      <c r="E151" s="4">
        <v>3</v>
      </c>
      <c r="F151" s="4" t="s">
        <v>128</v>
      </c>
      <c r="G151" s="4">
        <v>21</v>
      </c>
      <c r="H151" s="4">
        <v>2</v>
      </c>
      <c r="I151" s="4">
        <v>4</v>
      </c>
      <c r="J151" s="4">
        <v>6</v>
      </c>
      <c r="K151" s="4" t="s">
        <v>350</v>
      </c>
    </row>
    <row r="152" spans="1:11" ht="53.15" hidden="1" customHeight="1" x14ac:dyDescent="0.35">
      <c r="A152" s="4" t="s">
        <v>351</v>
      </c>
      <c r="B152" s="4" t="s">
        <v>352</v>
      </c>
      <c r="C152" s="4">
        <v>2024</v>
      </c>
      <c r="D152" s="4" t="s">
        <v>353</v>
      </c>
      <c r="E152" s="4">
        <v>5</v>
      </c>
      <c r="F152" s="4" t="s">
        <v>354</v>
      </c>
      <c r="G152" s="4">
        <v>18</v>
      </c>
      <c r="H152" s="4">
        <v>0</v>
      </c>
      <c r="I152" s="4">
        <v>2</v>
      </c>
      <c r="J152" s="4">
        <v>6</v>
      </c>
      <c r="K152" s="4" t="s">
        <v>355</v>
      </c>
    </row>
    <row r="153" spans="1:11" ht="53.15" hidden="1" customHeight="1" x14ac:dyDescent="0.35">
      <c r="A153" s="4" t="s">
        <v>356</v>
      </c>
      <c r="B153" s="4" t="s">
        <v>352</v>
      </c>
      <c r="C153" s="4">
        <v>2024</v>
      </c>
      <c r="D153" s="4" t="s">
        <v>353</v>
      </c>
      <c r="E153" s="4">
        <v>3</v>
      </c>
      <c r="F153" s="4" t="s">
        <v>17</v>
      </c>
      <c r="G153" s="4">
        <v>46</v>
      </c>
      <c r="H153" s="4">
        <v>3</v>
      </c>
      <c r="I153" s="4">
        <v>3</v>
      </c>
      <c r="J153" s="4">
        <v>3</v>
      </c>
      <c r="K153" s="4" t="s">
        <v>357</v>
      </c>
    </row>
    <row r="154" spans="1:11" ht="53.15" hidden="1" customHeight="1" x14ac:dyDescent="0.35">
      <c r="A154" s="4" t="s">
        <v>358</v>
      </c>
      <c r="B154" s="4" t="s">
        <v>352</v>
      </c>
      <c r="C154" s="4">
        <v>2024</v>
      </c>
      <c r="D154" s="4" t="s">
        <v>353</v>
      </c>
      <c r="E154" s="4">
        <v>3</v>
      </c>
      <c r="F154" s="4" t="s">
        <v>359</v>
      </c>
      <c r="G154" s="4">
        <v>23</v>
      </c>
      <c r="H154" s="4">
        <v>0</v>
      </c>
      <c r="I154" s="4">
        <v>4</v>
      </c>
      <c r="J154" s="4">
        <v>3</v>
      </c>
      <c r="K154" s="4" t="s">
        <v>360</v>
      </c>
    </row>
    <row r="155" spans="1:11" ht="53.15" hidden="1" customHeight="1" x14ac:dyDescent="0.35">
      <c r="A155" s="4" t="s">
        <v>361</v>
      </c>
      <c r="B155" s="4" t="s">
        <v>352</v>
      </c>
      <c r="C155" s="4">
        <v>2024</v>
      </c>
      <c r="D155" s="4" t="s">
        <v>353</v>
      </c>
      <c r="E155" s="4">
        <v>8</v>
      </c>
      <c r="F155" s="4" t="s">
        <v>17</v>
      </c>
      <c r="G155" s="4">
        <v>34</v>
      </c>
      <c r="H155" s="4">
        <v>2</v>
      </c>
      <c r="I155" s="4">
        <v>5</v>
      </c>
      <c r="J155" s="4">
        <v>14</v>
      </c>
      <c r="K155" s="4" t="s">
        <v>362</v>
      </c>
    </row>
    <row r="156" spans="1:11" ht="53.15" hidden="1" customHeight="1" x14ac:dyDescent="0.35">
      <c r="A156" s="4" t="s">
        <v>363</v>
      </c>
      <c r="B156" s="4" t="s">
        <v>352</v>
      </c>
      <c r="C156" s="4">
        <v>2024</v>
      </c>
      <c r="D156" s="4" t="s">
        <v>353</v>
      </c>
      <c r="E156" s="4">
        <v>1</v>
      </c>
      <c r="F156" s="4" t="s">
        <v>59</v>
      </c>
      <c r="G156" s="4">
        <v>43</v>
      </c>
      <c r="H156" s="4">
        <v>0</v>
      </c>
      <c r="I156" s="4">
        <v>1</v>
      </c>
      <c r="J156" s="4">
        <v>1</v>
      </c>
      <c r="K156" s="4" t="s">
        <v>364</v>
      </c>
    </row>
    <row r="157" spans="1:11" ht="53.15" hidden="1" customHeight="1" x14ac:dyDescent="0.35">
      <c r="A157" s="4" t="s">
        <v>365</v>
      </c>
      <c r="B157" s="4" t="s">
        <v>352</v>
      </c>
      <c r="C157" s="4">
        <v>2024</v>
      </c>
      <c r="D157" s="4" t="s">
        <v>353</v>
      </c>
      <c r="E157" s="4">
        <v>3</v>
      </c>
      <c r="F157" s="4" t="s">
        <v>59</v>
      </c>
      <c r="G157" s="4">
        <v>34</v>
      </c>
      <c r="H157" s="4">
        <v>0</v>
      </c>
      <c r="I157" s="4">
        <v>4</v>
      </c>
      <c r="J157" s="4">
        <v>4</v>
      </c>
      <c r="K157" s="4" t="s">
        <v>366</v>
      </c>
    </row>
    <row r="158" spans="1:11" ht="53.15" hidden="1" customHeight="1" x14ac:dyDescent="0.35">
      <c r="A158" s="4" t="s">
        <v>367</v>
      </c>
      <c r="B158" s="4" t="s">
        <v>352</v>
      </c>
      <c r="C158" s="4">
        <v>2024</v>
      </c>
      <c r="D158" s="4" t="s">
        <v>353</v>
      </c>
      <c r="E158" s="4">
        <v>2</v>
      </c>
      <c r="F158" s="4" t="s">
        <v>17</v>
      </c>
      <c r="G158" s="4">
        <v>22</v>
      </c>
      <c r="H158" s="4">
        <v>2</v>
      </c>
      <c r="I158" s="4">
        <v>4</v>
      </c>
      <c r="J158" s="4">
        <v>13</v>
      </c>
      <c r="K158" s="4" t="s">
        <v>368</v>
      </c>
    </row>
    <row r="159" spans="1:11" ht="53.15" hidden="1" customHeight="1" x14ac:dyDescent="0.35">
      <c r="A159" s="4" t="s">
        <v>369</v>
      </c>
      <c r="B159" s="4" t="s">
        <v>352</v>
      </c>
      <c r="C159" s="4">
        <v>2024</v>
      </c>
      <c r="D159" s="4" t="s">
        <v>353</v>
      </c>
      <c r="E159" s="4">
        <v>3</v>
      </c>
      <c r="F159" s="4" t="s">
        <v>42</v>
      </c>
      <c r="G159" s="4">
        <v>46</v>
      </c>
      <c r="H159" s="4">
        <v>4</v>
      </c>
      <c r="I159" s="4">
        <v>2</v>
      </c>
      <c r="J159" s="4">
        <v>3</v>
      </c>
      <c r="K159" s="4" t="s">
        <v>370</v>
      </c>
    </row>
    <row r="160" spans="1:11" ht="53.15" hidden="1" customHeight="1" x14ac:dyDescent="0.35">
      <c r="A160" s="4" t="s">
        <v>371</v>
      </c>
      <c r="B160" s="4" t="s">
        <v>352</v>
      </c>
      <c r="C160" s="4">
        <v>2024</v>
      </c>
      <c r="D160" s="4" t="s">
        <v>353</v>
      </c>
      <c r="E160" s="4">
        <v>3</v>
      </c>
      <c r="F160" s="4" t="s">
        <v>17</v>
      </c>
      <c r="G160" s="4">
        <v>35</v>
      </c>
      <c r="H160" s="4">
        <v>7</v>
      </c>
      <c r="I160" s="4">
        <v>4</v>
      </c>
      <c r="J160" s="4">
        <v>5</v>
      </c>
      <c r="K160" s="4" t="s">
        <v>372</v>
      </c>
    </row>
    <row r="161" spans="1:11" ht="53.15" hidden="1" customHeight="1" x14ac:dyDescent="0.35">
      <c r="A161" s="4" t="s">
        <v>373</v>
      </c>
      <c r="B161" s="4" t="s">
        <v>352</v>
      </c>
      <c r="C161" s="4">
        <v>2024</v>
      </c>
      <c r="D161" s="4" t="s">
        <v>353</v>
      </c>
      <c r="E161" s="4">
        <v>5</v>
      </c>
      <c r="F161" s="4" t="s">
        <v>374</v>
      </c>
      <c r="G161" s="4">
        <v>23</v>
      </c>
      <c r="H161" s="4">
        <v>9</v>
      </c>
      <c r="I161" s="4">
        <v>1</v>
      </c>
      <c r="J161" s="4">
        <v>6</v>
      </c>
      <c r="K161" s="4" t="s">
        <v>375</v>
      </c>
    </row>
    <row r="162" spans="1:11" ht="53.15" hidden="1" customHeight="1" x14ac:dyDescent="0.35">
      <c r="A162" s="4" t="s">
        <v>376</v>
      </c>
      <c r="B162" s="4" t="s">
        <v>352</v>
      </c>
      <c r="C162" s="4">
        <v>2024</v>
      </c>
      <c r="D162" s="4" t="s">
        <v>353</v>
      </c>
      <c r="E162" s="4">
        <v>2</v>
      </c>
      <c r="F162" s="4" t="s">
        <v>77</v>
      </c>
      <c r="G162" s="4">
        <v>34</v>
      </c>
      <c r="H162" s="4">
        <v>6</v>
      </c>
      <c r="I162" s="4">
        <v>2</v>
      </c>
      <c r="J162" s="4">
        <v>4</v>
      </c>
      <c r="K162" s="4" t="s">
        <v>377</v>
      </c>
    </row>
    <row r="163" spans="1:11" ht="53.15" hidden="1" customHeight="1" x14ac:dyDescent="0.35">
      <c r="A163" s="4" t="s">
        <v>378</v>
      </c>
      <c r="B163" s="4" t="s">
        <v>352</v>
      </c>
      <c r="C163" s="4">
        <v>2024</v>
      </c>
      <c r="D163" s="4" t="s">
        <v>353</v>
      </c>
      <c r="E163" s="4">
        <v>4</v>
      </c>
      <c r="F163" s="4" t="s">
        <v>17</v>
      </c>
      <c r="G163" s="4">
        <v>32</v>
      </c>
      <c r="H163" s="4">
        <v>16</v>
      </c>
      <c r="I163" s="4">
        <v>0</v>
      </c>
      <c r="J163" s="4">
        <v>10</v>
      </c>
      <c r="K163" s="4" t="s">
        <v>379</v>
      </c>
    </row>
    <row r="164" spans="1:11" ht="53.15" hidden="1" customHeight="1" x14ac:dyDescent="0.35">
      <c r="A164" s="4" t="s">
        <v>380</v>
      </c>
      <c r="B164" s="4" t="s">
        <v>352</v>
      </c>
      <c r="C164" s="4">
        <v>2024</v>
      </c>
      <c r="D164" s="4" t="s">
        <v>353</v>
      </c>
      <c r="E164" s="4">
        <v>2</v>
      </c>
      <c r="F164" s="4" t="s">
        <v>17</v>
      </c>
      <c r="G164" s="4">
        <v>19</v>
      </c>
      <c r="H164" s="4">
        <v>1</v>
      </c>
      <c r="I164" s="4">
        <v>6</v>
      </c>
      <c r="J164" s="4">
        <v>2</v>
      </c>
      <c r="K164" s="4" t="s">
        <v>381</v>
      </c>
    </row>
    <row r="165" spans="1:11" ht="53.15" hidden="1" customHeight="1" x14ac:dyDescent="0.35">
      <c r="A165" s="4" t="s">
        <v>382</v>
      </c>
      <c r="B165" s="4" t="s">
        <v>352</v>
      </c>
      <c r="C165" s="4">
        <v>2024</v>
      </c>
      <c r="D165" s="4" t="s">
        <v>353</v>
      </c>
      <c r="E165" s="4">
        <v>3</v>
      </c>
      <c r="F165" s="4" t="s">
        <v>259</v>
      </c>
      <c r="G165" s="4">
        <v>19</v>
      </c>
      <c r="H165" s="4">
        <v>2</v>
      </c>
      <c r="I165" s="4">
        <v>1</v>
      </c>
      <c r="J165" s="4">
        <v>10</v>
      </c>
      <c r="K165" s="4" t="s">
        <v>383</v>
      </c>
    </row>
    <row r="166" spans="1:11" ht="53.15" hidden="1" customHeight="1" x14ac:dyDescent="0.35">
      <c r="A166" s="4" t="s">
        <v>384</v>
      </c>
      <c r="B166" s="4" t="s">
        <v>352</v>
      </c>
      <c r="C166" s="4">
        <v>2024</v>
      </c>
      <c r="D166" s="4" t="s">
        <v>353</v>
      </c>
      <c r="E166" s="4">
        <v>3</v>
      </c>
      <c r="F166" s="4" t="s">
        <v>17</v>
      </c>
      <c r="G166" s="4">
        <v>10</v>
      </c>
      <c r="H166" s="4">
        <v>2</v>
      </c>
      <c r="I166" s="4">
        <v>0</v>
      </c>
      <c r="J166" s="4">
        <v>1</v>
      </c>
      <c r="K166" s="4" t="s">
        <v>385</v>
      </c>
    </row>
    <row r="167" spans="1:11" ht="53.15" hidden="1" customHeight="1" x14ac:dyDescent="0.35">
      <c r="A167" s="4" t="s">
        <v>386</v>
      </c>
      <c r="B167" s="4" t="s">
        <v>352</v>
      </c>
      <c r="C167" s="4">
        <v>2024</v>
      </c>
      <c r="D167" s="4" t="s">
        <v>353</v>
      </c>
      <c r="E167" s="4">
        <v>3</v>
      </c>
      <c r="F167" s="4" t="s">
        <v>387</v>
      </c>
      <c r="G167" s="4">
        <v>17</v>
      </c>
      <c r="H167" s="4">
        <v>1</v>
      </c>
      <c r="I167" s="4">
        <v>1</v>
      </c>
      <c r="J167" s="4">
        <v>9</v>
      </c>
      <c r="K167" s="4" t="s">
        <v>388</v>
      </c>
    </row>
    <row r="168" spans="1:11" ht="53.15" hidden="1" customHeight="1" x14ac:dyDescent="0.35">
      <c r="A168" s="4" t="s">
        <v>389</v>
      </c>
      <c r="B168" s="4" t="s">
        <v>352</v>
      </c>
      <c r="C168" s="4">
        <v>2024</v>
      </c>
      <c r="D168" s="4" t="s">
        <v>353</v>
      </c>
      <c r="E168" s="4">
        <v>3</v>
      </c>
      <c r="F168" s="4" t="s">
        <v>17</v>
      </c>
      <c r="G168" s="4">
        <v>21</v>
      </c>
      <c r="H168" s="4">
        <v>3</v>
      </c>
      <c r="I168" s="4">
        <v>2</v>
      </c>
      <c r="J168" s="4">
        <v>9</v>
      </c>
      <c r="K168" s="4" t="s">
        <v>390</v>
      </c>
    </row>
    <row r="169" spans="1:11" ht="53.15" hidden="1" customHeight="1" x14ac:dyDescent="0.35">
      <c r="A169" s="4" t="s">
        <v>391</v>
      </c>
      <c r="B169" s="4" t="s">
        <v>352</v>
      </c>
      <c r="C169" s="4">
        <v>2024</v>
      </c>
      <c r="D169" s="4" t="s">
        <v>353</v>
      </c>
      <c r="E169" s="4">
        <v>5</v>
      </c>
      <c r="F169" s="4" t="s">
        <v>374</v>
      </c>
      <c r="G169" s="4">
        <v>23</v>
      </c>
      <c r="H169" s="4">
        <v>9</v>
      </c>
      <c r="I169" s="4">
        <v>1</v>
      </c>
      <c r="J169" s="4">
        <v>5</v>
      </c>
      <c r="K169" s="4" t="s">
        <v>375</v>
      </c>
    </row>
    <row r="170" spans="1:11" ht="53.15" hidden="1" customHeight="1" x14ac:dyDescent="0.35">
      <c r="A170" s="4" t="s">
        <v>392</v>
      </c>
      <c r="B170" s="4" t="s">
        <v>352</v>
      </c>
      <c r="C170" s="4">
        <v>2024</v>
      </c>
      <c r="D170" s="4" t="s">
        <v>353</v>
      </c>
      <c r="E170" s="4">
        <v>2</v>
      </c>
      <c r="F170" s="4" t="s">
        <v>42</v>
      </c>
      <c r="G170" s="4">
        <v>17</v>
      </c>
      <c r="H170" s="4">
        <v>9</v>
      </c>
      <c r="I170" s="4">
        <v>4</v>
      </c>
      <c r="J170" s="4">
        <v>7</v>
      </c>
      <c r="K170" s="4" t="s">
        <v>393</v>
      </c>
    </row>
    <row r="171" spans="1:11" ht="53.15" hidden="1" customHeight="1" x14ac:dyDescent="0.35">
      <c r="A171" s="4" t="s">
        <v>394</v>
      </c>
      <c r="B171" s="4" t="s">
        <v>352</v>
      </c>
      <c r="C171" s="4">
        <v>2024</v>
      </c>
      <c r="D171" s="4" t="s">
        <v>353</v>
      </c>
      <c r="E171" s="4">
        <v>5</v>
      </c>
      <c r="F171" s="4" t="s">
        <v>77</v>
      </c>
      <c r="G171" s="4">
        <v>44</v>
      </c>
      <c r="H171" s="4">
        <v>6</v>
      </c>
      <c r="I171" s="4">
        <v>3</v>
      </c>
      <c r="J171" s="4">
        <v>10</v>
      </c>
      <c r="K171" s="4" t="s">
        <v>395</v>
      </c>
    </row>
    <row r="172" spans="1:11" ht="53.15" hidden="1" customHeight="1" x14ac:dyDescent="0.35">
      <c r="A172" s="4" t="s">
        <v>396</v>
      </c>
      <c r="B172" s="4" t="s">
        <v>352</v>
      </c>
      <c r="C172" s="4">
        <v>2024</v>
      </c>
      <c r="D172" s="4" t="s">
        <v>353</v>
      </c>
      <c r="E172" s="4">
        <v>2</v>
      </c>
      <c r="F172" s="4" t="s">
        <v>69</v>
      </c>
      <c r="G172" s="4">
        <v>51</v>
      </c>
      <c r="H172" s="4">
        <v>1</v>
      </c>
      <c r="I172" s="4">
        <v>3</v>
      </c>
      <c r="J172" s="4">
        <v>3</v>
      </c>
      <c r="K172" s="4" t="s">
        <v>397</v>
      </c>
    </row>
    <row r="173" spans="1:11" ht="53.15" hidden="1" customHeight="1" x14ac:dyDescent="0.35">
      <c r="A173" s="4" t="s">
        <v>398</v>
      </c>
      <c r="B173" s="4" t="s">
        <v>352</v>
      </c>
      <c r="C173" s="4">
        <v>2024</v>
      </c>
      <c r="D173" s="4" t="s">
        <v>353</v>
      </c>
      <c r="E173" s="4">
        <v>3</v>
      </c>
      <c r="F173" s="4" t="s">
        <v>51</v>
      </c>
      <c r="G173" s="4">
        <v>37</v>
      </c>
      <c r="H173" s="4">
        <v>0</v>
      </c>
      <c r="I173" s="4">
        <v>4</v>
      </c>
      <c r="J173" s="4">
        <v>6</v>
      </c>
      <c r="K173" s="4" t="s">
        <v>399</v>
      </c>
    </row>
    <row r="174" spans="1:11" ht="53.15" hidden="1" customHeight="1" x14ac:dyDescent="0.35">
      <c r="A174" s="4" t="s">
        <v>400</v>
      </c>
      <c r="B174" s="4" t="s">
        <v>352</v>
      </c>
      <c r="C174" s="4">
        <v>2024</v>
      </c>
      <c r="D174" s="4" t="s">
        <v>353</v>
      </c>
      <c r="E174" s="4">
        <v>5</v>
      </c>
      <c r="F174" s="4" t="s">
        <v>128</v>
      </c>
      <c r="G174" s="4">
        <v>15</v>
      </c>
      <c r="H174" s="4">
        <v>5</v>
      </c>
      <c r="I174" s="4">
        <v>4</v>
      </c>
      <c r="J174" s="4">
        <v>4</v>
      </c>
      <c r="K174" s="4" t="s">
        <v>401</v>
      </c>
    </row>
    <row r="175" spans="1:11" ht="53.15" hidden="1" customHeight="1" x14ac:dyDescent="0.35">
      <c r="A175" s="4" t="s">
        <v>402</v>
      </c>
      <c r="B175" s="4" t="s">
        <v>352</v>
      </c>
      <c r="C175" s="4">
        <v>2024</v>
      </c>
      <c r="D175" s="4" t="s">
        <v>353</v>
      </c>
      <c r="E175" s="4">
        <v>4</v>
      </c>
      <c r="F175" s="4" t="s">
        <v>17</v>
      </c>
      <c r="G175" s="4">
        <v>37</v>
      </c>
      <c r="H175" s="4">
        <v>12</v>
      </c>
      <c r="I175" s="4">
        <v>3</v>
      </c>
      <c r="J175" s="4">
        <v>6</v>
      </c>
      <c r="K175" s="4" t="s">
        <v>403</v>
      </c>
    </row>
    <row r="176" spans="1:11" ht="53.15" hidden="1" customHeight="1" x14ac:dyDescent="0.35">
      <c r="A176" s="4" t="s">
        <v>404</v>
      </c>
      <c r="B176" s="4" t="s">
        <v>352</v>
      </c>
      <c r="C176" s="4">
        <v>2024</v>
      </c>
      <c r="D176" s="4" t="s">
        <v>353</v>
      </c>
      <c r="E176" s="4">
        <v>4</v>
      </c>
      <c r="F176" s="4" t="s">
        <v>354</v>
      </c>
      <c r="G176" s="4">
        <v>21</v>
      </c>
      <c r="H176" s="4">
        <v>63</v>
      </c>
      <c r="I176" s="4">
        <v>4</v>
      </c>
      <c r="J176" s="4">
        <v>5</v>
      </c>
      <c r="K176" s="4" t="s">
        <v>405</v>
      </c>
    </row>
    <row r="177" spans="1:11" ht="53.15" hidden="1" customHeight="1" x14ac:dyDescent="0.35">
      <c r="A177" s="4" t="s">
        <v>406</v>
      </c>
      <c r="B177" s="4" t="s">
        <v>352</v>
      </c>
      <c r="C177" s="4">
        <v>2024</v>
      </c>
      <c r="D177" s="4" t="s">
        <v>353</v>
      </c>
      <c r="E177" s="4">
        <v>3</v>
      </c>
      <c r="F177" s="4" t="s">
        <v>42</v>
      </c>
      <c r="G177" s="4">
        <v>16</v>
      </c>
      <c r="H177" s="4">
        <v>7</v>
      </c>
      <c r="I177" s="4">
        <v>2</v>
      </c>
      <c r="J177" s="4">
        <v>3</v>
      </c>
      <c r="K177" s="4" t="s">
        <v>407</v>
      </c>
    </row>
    <row r="178" spans="1:11" ht="53.15" hidden="1" customHeight="1" x14ac:dyDescent="0.35">
      <c r="A178" s="4" t="s">
        <v>408</v>
      </c>
      <c r="B178" s="4" t="s">
        <v>352</v>
      </c>
      <c r="C178" s="4">
        <v>2024</v>
      </c>
      <c r="D178" s="4" t="s">
        <v>353</v>
      </c>
      <c r="E178" s="4">
        <v>3</v>
      </c>
      <c r="F178" s="4" t="s">
        <v>409</v>
      </c>
      <c r="G178" s="4">
        <v>18</v>
      </c>
      <c r="H178" s="4">
        <v>3</v>
      </c>
      <c r="I178" s="4">
        <v>4</v>
      </c>
      <c r="J178" s="4">
        <v>6</v>
      </c>
      <c r="K178" s="4" t="s">
        <v>410</v>
      </c>
    </row>
    <row r="179" spans="1:11" ht="53.15" hidden="1" customHeight="1" x14ac:dyDescent="0.35">
      <c r="A179" s="4" t="s">
        <v>411</v>
      </c>
      <c r="B179" s="4" t="s">
        <v>352</v>
      </c>
      <c r="C179" s="4">
        <v>2024</v>
      </c>
      <c r="D179" s="4" t="s">
        <v>353</v>
      </c>
      <c r="E179" s="4">
        <v>3</v>
      </c>
      <c r="F179" s="4" t="s">
        <v>259</v>
      </c>
      <c r="G179" s="4">
        <v>25</v>
      </c>
      <c r="H179" s="4">
        <v>1</v>
      </c>
      <c r="I179" s="4">
        <v>5</v>
      </c>
      <c r="J179" s="4">
        <v>8</v>
      </c>
      <c r="K179" s="4" t="s">
        <v>412</v>
      </c>
    </row>
    <row r="180" spans="1:11" ht="53.15" hidden="1" customHeight="1" x14ac:dyDescent="0.35">
      <c r="A180" s="4" t="s">
        <v>413</v>
      </c>
      <c r="B180" s="4" t="s">
        <v>12</v>
      </c>
      <c r="C180" s="4">
        <v>2024</v>
      </c>
      <c r="D180" s="4" t="s">
        <v>414</v>
      </c>
      <c r="E180" s="4">
        <v>4</v>
      </c>
      <c r="F180" s="4" t="s">
        <v>92</v>
      </c>
      <c r="G180" s="4">
        <v>21</v>
      </c>
      <c r="H180" s="4">
        <v>10</v>
      </c>
      <c r="I180" s="4">
        <v>0</v>
      </c>
      <c r="J180" s="4">
        <v>5</v>
      </c>
      <c r="K180" s="4" t="s">
        <v>415</v>
      </c>
    </row>
    <row r="181" spans="1:11" ht="53.15" hidden="1" customHeight="1" x14ac:dyDescent="0.35">
      <c r="A181" s="4" t="s">
        <v>416</v>
      </c>
      <c r="B181" s="4" t="s">
        <v>12</v>
      </c>
      <c r="C181" s="4">
        <v>2024</v>
      </c>
      <c r="D181" s="4" t="s">
        <v>13</v>
      </c>
      <c r="E181" s="4">
        <v>2</v>
      </c>
      <c r="F181" s="4" t="s">
        <v>13</v>
      </c>
      <c r="G181" s="4">
        <v>17</v>
      </c>
      <c r="H181" s="4">
        <v>1</v>
      </c>
      <c r="I181" s="4">
        <v>12</v>
      </c>
      <c r="J181" s="4">
        <v>4</v>
      </c>
      <c r="K181" s="4" t="s">
        <v>417</v>
      </c>
    </row>
    <row r="182" spans="1:11" ht="53.15" hidden="1" customHeight="1" x14ac:dyDescent="0.35">
      <c r="A182" s="4" t="s">
        <v>418</v>
      </c>
      <c r="B182" s="4" t="s">
        <v>12</v>
      </c>
      <c r="C182" s="4">
        <v>2024</v>
      </c>
      <c r="D182" s="4" t="s">
        <v>13</v>
      </c>
      <c r="E182" s="4">
        <v>5</v>
      </c>
      <c r="F182" s="4" t="s">
        <v>359</v>
      </c>
      <c r="G182" s="4">
        <v>46</v>
      </c>
      <c r="H182" s="4">
        <v>6</v>
      </c>
      <c r="I182" s="4">
        <v>0</v>
      </c>
      <c r="J182" s="4">
        <v>11</v>
      </c>
      <c r="K182" s="4" t="s">
        <v>419</v>
      </c>
    </row>
    <row r="183" spans="1:11" ht="53.15" hidden="1" customHeight="1" x14ac:dyDescent="0.35">
      <c r="A183" s="4" t="s">
        <v>420</v>
      </c>
      <c r="B183" s="4" t="s">
        <v>12</v>
      </c>
      <c r="C183" s="4">
        <v>2024</v>
      </c>
      <c r="D183" s="4" t="s">
        <v>13</v>
      </c>
      <c r="E183" s="4">
        <v>2</v>
      </c>
      <c r="F183" s="4" t="s">
        <v>17</v>
      </c>
      <c r="G183" s="4">
        <v>36</v>
      </c>
      <c r="H183" s="4">
        <v>4</v>
      </c>
      <c r="I183" s="4">
        <v>0</v>
      </c>
      <c r="J183" s="4">
        <v>4</v>
      </c>
      <c r="K183" s="4" t="s">
        <v>421</v>
      </c>
    </row>
    <row r="184" spans="1:11" ht="53.15" hidden="1" customHeight="1" x14ac:dyDescent="0.35">
      <c r="A184" s="4" t="s">
        <v>422</v>
      </c>
      <c r="B184" s="4" t="s">
        <v>12</v>
      </c>
      <c r="C184" s="4">
        <v>2024</v>
      </c>
      <c r="D184" s="4" t="s">
        <v>13</v>
      </c>
      <c r="E184" s="4">
        <v>3</v>
      </c>
      <c r="F184" s="4" t="s">
        <v>22</v>
      </c>
      <c r="G184" s="4">
        <v>17</v>
      </c>
      <c r="H184" s="4">
        <v>0</v>
      </c>
      <c r="I184" s="4">
        <v>1</v>
      </c>
      <c r="J184" s="4">
        <v>2</v>
      </c>
      <c r="K184" s="4" t="s">
        <v>423</v>
      </c>
    </row>
    <row r="185" spans="1:11" ht="53.15" hidden="1" customHeight="1" x14ac:dyDescent="0.35">
      <c r="A185" s="4" t="s">
        <v>424</v>
      </c>
      <c r="B185" s="4" t="s">
        <v>12</v>
      </c>
      <c r="C185" s="4">
        <v>2024</v>
      </c>
      <c r="D185" s="4" t="s">
        <v>13</v>
      </c>
      <c r="E185" s="4">
        <v>6</v>
      </c>
      <c r="F185" s="4" t="s">
        <v>17</v>
      </c>
      <c r="G185" s="4">
        <v>66</v>
      </c>
      <c r="H185" s="4">
        <v>6</v>
      </c>
      <c r="I185" s="4">
        <v>2</v>
      </c>
      <c r="J185" s="4">
        <v>7</v>
      </c>
      <c r="K185" s="4" t="s">
        <v>425</v>
      </c>
    </row>
    <row r="186" spans="1:11" ht="53.15" hidden="1" customHeight="1" x14ac:dyDescent="0.35">
      <c r="A186" s="4" t="s">
        <v>426</v>
      </c>
      <c r="B186" s="4" t="s">
        <v>12</v>
      </c>
      <c r="C186" s="4">
        <v>2024</v>
      </c>
      <c r="D186" s="4" t="s">
        <v>13</v>
      </c>
      <c r="E186" s="4">
        <v>7</v>
      </c>
      <c r="F186" s="4" t="s">
        <v>359</v>
      </c>
      <c r="G186" s="4">
        <v>15</v>
      </c>
      <c r="H186" s="4">
        <v>4</v>
      </c>
      <c r="I186" s="4">
        <v>1</v>
      </c>
      <c r="J186" s="4">
        <v>17</v>
      </c>
      <c r="K186" s="4" t="s">
        <v>427</v>
      </c>
    </row>
    <row r="187" spans="1:11" ht="53.15" hidden="1" customHeight="1" x14ac:dyDescent="0.35">
      <c r="A187" s="4" t="s">
        <v>428</v>
      </c>
      <c r="B187" s="4" t="s">
        <v>12</v>
      </c>
      <c r="C187" s="4">
        <v>2024</v>
      </c>
      <c r="D187" s="4" t="s">
        <v>13</v>
      </c>
      <c r="E187" s="4">
        <v>8</v>
      </c>
      <c r="F187" s="4" t="s">
        <v>14</v>
      </c>
      <c r="G187" s="4">
        <v>11</v>
      </c>
      <c r="H187" s="4">
        <v>5</v>
      </c>
      <c r="I187" s="4">
        <v>2</v>
      </c>
      <c r="J187" s="4">
        <v>6</v>
      </c>
      <c r="K187" s="4" t="s">
        <v>429</v>
      </c>
    </row>
    <row r="188" spans="1:11" ht="53.15" hidden="1" customHeight="1" x14ac:dyDescent="0.35">
      <c r="A188" s="4" t="s">
        <v>430</v>
      </c>
      <c r="B188" s="4" t="s">
        <v>95</v>
      </c>
      <c r="C188" s="4">
        <v>2024</v>
      </c>
      <c r="D188" s="4" t="s">
        <v>431</v>
      </c>
      <c r="E188" s="4">
        <v>6</v>
      </c>
      <c r="F188" s="4" t="s">
        <v>432</v>
      </c>
      <c r="G188" s="4">
        <v>19</v>
      </c>
      <c r="H188" s="4">
        <v>0</v>
      </c>
      <c r="I188" s="4">
        <v>7</v>
      </c>
      <c r="J188" s="4">
        <v>10</v>
      </c>
      <c r="K188" s="4" t="s">
        <v>433</v>
      </c>
    </row>
    <row r="189" spans="1:11" ht="53.15" hidden="1" customHeight="1" x14ac:dyDescent="0.35">
      <c r="A189" s="4" t="s">
        <v>434</v>
      </c>
      <c r="B189" s="4" t="s">
        <v>95</v>
      </c>
      <c r="C189" s="4">
        <v>2024</v>
      </c>
      <c r="D189" s="4" t="s">
        <v>431</v>
      </c>
      <c r="E189" s="4">
        <v>6</v>
      </c>
      <c r="F189" s="4" t="s">
        <v>14</v>
      </c>
      <c r="G189" s="4">
        <v>13</v>
      </c>
      <c r="H189" s="4">
        <v>0</v>
      </c>
      <c r="I189" s="4">
        <v>2</v>
      </c>
      <c r="J189" s="4">
        <v>4</v>
      </c>
      <c r="K189" s="4" t="s">
        <v>435</v>
      </c>
    </row>
    <row r="190" spans="1:11" ht="53.15" hidden="1" customHeight="1" x14ac:dyDescent="0.35">
      <c r="A190" s="4" t="s">
        <v>436</v>
      </c>
      <c r="B190" s="4" t="s">
        <v>95</v>
      </c>
      <c r="C190" s="4">
        <v>2024</v>
      </c>
      <c r="D190" s="4" t="s">
        <v>431</v>
      </c>
      <c r="E190" s="4">
        <v>3</v>
      </c>
      <c r="F190" s="4" t="s">
        <v>437</v>
      </c>
      <c r="G190" s="4">
        <v>36</v>
      </c>
      <c r="H190" s="4">
        <v>2</v>
      </c>
      <c r="I190" s="4">
        <v>2</v>
      </c>
      <c r="J190" s="4">
        <v>6</v>
      </c>
      <c r="K190" s="4" t="s">
        <v>438</v>
      </c>
    </row>
    <row r="191" spans="1:11" ht="53.15" hidden="1" customHeight="1" x14ac:dyDescent="0.35">
      <c r="A191" s="4" t="s">
        <v>439</v>
      </c>
      <c r="B191" s="4" t="s">
        <v>95</v>
      </c>
      <c r="C191" s="4">
        <v>2024</v>
      </c>
      <c r="D191" s="4" t="s">
        <v>431</v>
      </c>
      <c r="E191" s="4">
        <v>6</v>
      </c>
      <c r="F191" s="4" t="s">
        <v>14</v>
      </c>
      <c r="G191" s="4">
        <v>11</v>
      </c>
      <c r="H191" s="4">
        <v>1</v>
      </c>
      <c r="I191" s="4">
        <v>0</v>
      </c>
      <c r="J191" s="4">
        <v>5</v>
      </c>
      <c r="K191" s="4" t="s">
        <v>440</v>
      </c>
    </row>
    <row r="192" spans="1:11" ht="53.15" hidden="1" customHeight="1" x14ac:dyDescent="0.35">
      <c r="A192" s="4" t="s">
        <v>441</v>
      </c>
      <c r="B192" s="4" t="s">
        <v>95</v>
      </c>
      <c r="C192" s="4">
        <v>2024</v>
      </c>
      <c r="D192" s="4" t="s">
        <v>431</v>
      </c>
      <c r="E192" s="4">
        <v>5</v>
      </c>
      <c r="F192" s="4" t="s">
        <v>14</v>
      </c>
      <c r="G192" s="4">
        <v>22</v>
      </c>
      <c r="H192" s="4">
        <v>1</v>
      </c>
      <c r="I192" s="4">
        <v>4</v>
      </c>
      <c r="J192" s="4">
        <v>2</v>
      </c>
      <c r="K192" s="4" t="s">
        <v>442</v>
      </c>
    </row>
    <row r="193" spans="1:11" ht="53.15" hidden="1" customHeight="1" x14ac:dyDescent="0.35">
      <c r="A193" s="4" t="s">
        <v>443</v>
      </c>
      <c r="B193" s="4" t="s">
        <v>95</v>
      </c>
      <c r="C193" s="4">
        <v>2024</v>
      </c>
      <c r="D193" s="4" t="s">
        <v>431</v>
      </c>
      <c r="E193" s="4">
        <v>6</v>
      </c>
      <c r="F193" s="4" t="s">
        <v>444</v>
      </c>
      <c r="G193" s="4">
        <v>17</v>
      </c>
      <c r="H193" s="4">
        <v>0</v>
      </c>
      <c r="I193" s="4">
        <v>1</v>
      </c>
      <c r="J193" s="4">
        <v>6</v>
      </c>
      <c r="K193" s="4" t="s">
        <v>445</v>
      </c>
    </row>
    <row r="194" spans="1:11" ht="53.15" hidden="1" customHeight="1" x14ac:dyDescent="0.35">
      <c r="A194" s="4" t="s">
        <v>446</v>
      </c>
      <c r="B194" s="4" t="s">
        <v>95</v>
      </c>
      <c r="C194" s="4">
        <v>2024</v>
      </c>
      <c r="D194" s="4" t="s">
        <v>431</v>
      </c>
      <c r="E194" s="4">
        <v>3</v>
      </c>
      <c r="F194" s="4" t="s">
        <v>17</v>
      </c>
      <c r="G194" s="4">
        <v>9</v>
      </c>
      <c r="H194" s="4">
        <v>0</v>
      </c>
      <c r="I194" s="4">
        <v>3</v>
      </c>
      <c r="J194" s="4">
        <v>5</v>
      </c>
      <c r="K194" s="4" t="s">
        <v>447</v>
      </c>
    </row>
    <row r="195" spans="1:11" ht="53.15" hidden="1" customHeight="1" x14ac:dyDescent="0.35">
      <c r="A195" s="4" t="s">
        <v>448</v>
      </c>
      <c r="B195" s="4" t="s">
        <v>95</v>
      </c>
      <c r="C195" s="4">
        <v>2024</v>
      </c>
      <c r="D195" s="4" t="s">
        <v>431</v>
      </c>
      <c r="E195" s="4">
        <v>4</v>
      </c>
      <c r="F195" s="4" t="s">
        <v>14</v>
      </c>
      <c r="G195" s="4">
        <v>22</v>
      </c>
      <c r="H195" s="4">
        <v>0</v>
      </c>
      <c r="I195" s="4">
        <v>0</v>
      </c>
      <c r="J195" s="4">
        <v>2</v>
      </c>
      <c r="K195" s="4" t="s">
        <v>449</v>
      </c>
    </row>
    <row r="196" spans="1:11" ht="53.15" hidden="1" customHeight="1" x14ac:dyDescent="0.35">
      <c r="A196" s="4" t="s">
        <v>450</v>
      </c>
      <c r="B196" s="4" t="s">
        <v>95</v>
      </c>
      <c r="C196" s="4">
        <v>2024</v>
      </c>
      <c r="D196" s="4" t="s">
        <v>431</v>
      </c>
      <c r="E196" s="4">
        <v>8</v>
      </c>
      <c r="F196" s="4" t="s">
        <v>14</v>
      </c>
      <c r="G196" s="4">
        <v>70</v>
      </c>
      <c r="H196" s="4">
        <v>0</v>
      </c>
      <c r="I196" s="4">
        <v>3</v>
      </c>
      <c r="J196" s="4">
        <v>9</v>
      </c>
      <c r="K196" s="4" t="s">
        <v>451</v>
      </c>
    </row>
    <row r="197" spans="1:11" ht="53.15" hidden="1" customHeight="1" x14ac:dyDescent="0.35">
      <c r="A197" s="4" t="s">
        <v>471</v>
      </c>
      <c r="B197" s="4" t="s">
        <v>470</v>
      </c>
      <c r="C197" s="4">
        <v>2023</v>
      </c>
      <c r="D197" s="4" t="s">
        <v>254</v>
      </c>
      <c r="E197" s="4">
        <v>3</v>
      </c>
      <c r="F197" s="4" t="s">
        <v>66</v>
      </c>
      <c r="G197" s="4">
        <v>29</v>
      </c>
      <c r="H197" s="4">
        <v>0</v>
      </c>
      <c r="I197" s="4">
        <v>6</v>
      </c>
      <c r="J197" s="4">
        <v>6</v>
      </c>
      <c r="K197" s="4" t="s">
        <v>472</v>
      </c>
    </row>
    <row r="198" spans="1:11" ht="53.15" hidden="1" customHeight="1" x14ac:dyDescent="0.35">
      <c r="A198" s="4" t="s">
        <v>474</v>
      </c>
      <c r="B198" s="4" t="s">
        <v>470</v>
      </c>
      <c r="C198" s="4">
        <v>2023</v>
      </c>
      <c r="D198" s="4" t="s">
        <v>254</v>
      </c>
      <c r="E198" s="4">
        <v>8</v>
      </c>
      <c r="F198" s="4" t="s">
        <v>51</v>
      </c>
      <c r="G198" s="4">
        <v>61</v>
      </c>
      <c r="H198" s="4">
        <v>0</v>
      </c>
      <c r="I198" s="4">
        <v>5</v>
      </c>
      <c r="J198" s="4">
        <v>12</v>
      </c>
      <c r="K198" s="4" t="s">
        <v>472</v>
      </c>
    </row>
    <row r="199" spans="1:11" ht="53.15" hidden="1" customHeight="1" x14ac:dyDescent="0.35">
      <c r="A199" s="4" t="s">
        <v>475</v>
      </c>
      <c r="B199" s="4" t="s">
        <v>470</v>
      </c>
      <c r="C199" s="4">
        <v>2023</v>
      </c>
      <c r="D199" s="4" t="s">
        <v>254</v>
      </c>
      <c r="E199" s="4">
        <v>4</v>
      </c>
      <c r="F199" s="4" t="s">
        <v>77</v>
      </c>
      <c r="G199" s="4">
        <v>43</v>
      </c>
      <c r="H199" s="4">
        <v>0</v>
      </c>
      <c r="I199" s="4">
        <v>0</v>
      </c>
      <c r="J199" s="4">
        <v>10</v>
      </c>
      <c r="K199" s="4" t="s">
        <v>472</v>
      </c>
    </row>
    <row r="200" spans="1:11" ht="53.15" hidden="1" customHeight="1" x14ac:dyDescent="0.35">
      <c r="A200" s="4" t="s">
        <v>477</v>
      </c>
      <c r="B200" s="4" t="s">
        <v>470</v>
      </c>
      <c r="C200" s="4">
        <v>2023</v>
      </c>
      <c r="D200" s="4" t="s">
        <v>254</v>
      </c>
      <c r="E200" s="4">
        <v>4</v>
      </c>
      <c r="F200" s="4" t="s">
        <v>66</v>
      </c>
      <c r="G200" s="4">
        <v>19</v>
      </c>
      <c r="H200" s="4">
        <v>0</v>
      </c>
      <c r="I200" s="4">
        <v>0</v>
      </c>
      <c r="J200" s="4">
        <v>6</v>
      </c>
      <c r="K200" s="4" t="s">
        <v>472</v>
      </c>
    </row>
    <row r="201" spans="1:11" ht="53.15" hidden="1" customHeight="1" x14ac:dyDescent="0.35">
      <c r="A201" s="4" t="s">
        <v>476</v>
      </c>
      <c r="B201" s="4" t="s">
        <v>470</v>
      </c>
      <c r="C201" s="4">
        <v>2023</v>
      </c>
      <c r="D201" s="4" t="s">
        <v>254</v>
      </c>
      <c r="E201" s="4">
        <v>5</v>
      </c>
      <c r="F201" s="4" t="s">
        <v>56</v>
      </c>
      <c r="G201" s="4">
        <v>31</v>
      </c>
      <c r="H201" s="4">
        <v>0</v>
      </c>
      <c r="I201" s="4">
        <v>1</v>
      </c>
      <c r="J201" s="4">
        <v>9</v>
      </c>
      <c r="K201" s="4" t="s">
        <v>472</v>
      </c>
    </row>
    <row r="202" spans="1:11" ht="53.15" hidden="1" customHeight="1" x14ac:dyDescent="0.35">
      <c r="A202" s="4" t="s">
        <v>478</v>
      </c>
      <c r="B202" s="4" t="s">
        <v>470</v>
      </c>
      <c r="C202" s="4">
        <v>2023</v>
      </c>
      <c r="D202" s="4" t="s">
        <v>254</v>
      </c>
      <c r="E202" s="4">
        <v>4</v>
      </c>
      <c r="F202" s="4" t="s">
        <v>66</v>
      </c>
      <c r="G202" s="4">
        <v>17</v>
      </c>
      <c r="H202" s="4">
        <v>0</v>
      </c>
      <c r="I202" s="4">
        <v>5</v>
      </c>
      <c r="J202" s="4">
        <v>6</v>
      </c>
      <c r="K202" s="4" t="s">
        <v>472</v>
      </c>
    </row>
    <row r="203" spans="1:11" ht="53.15" hidden="1" customHeight="1" x14ac:dyDescent="0.35">
      <c r="A203" s="4" t="s">
        <v>479</v>
      </c>
      <c r="B203" s="4" t="s">
        <v>470</v>
      </c>
      <c r="C203" s="4">
        <v>2023</v>
      </c>
      <c r="D203" s="4" t="s">
        <v>254</v>
      </c>
      <c r="E203" s="4">
        <v>2</v>
      </c>
      <c r="F203" s="4" t="s">
        <v>77</v>
      </c>
      <c r="G203" s="4">
        <v>8</v>
      </c>
      <c r="H203" s="4">
        <v>0</v>
      </c>
      <c r="I203" s="4">
        <v>0</v>
      </c>
      <c r="J203" s="4">
        <v>3</v>
      </c>
      <c r="K203" s="4" t="s">
        <v>472</v>
      </c>
    </row>
    <row r="204" spans="1:11" ht="53.15" hidden="1" customHeight="1" x14ac:dyDescent="0.35">
      <c r="A204" s="4" t="s">
        <v>480</v>
      </c>
      <c r="B204" s="4" t="s">
        <v>470</v>
      </c>
      <c r="C204" s="4">
        <v>2023</v>
      </c>
      <c r="D204" s="4" t="s">
        <v>254</v>
      </c>
      <c r="E204" s="4">
        <v>4</v>
      </c>
      <c r="F204" s="4" t="s">
        <v>77</v>
      </c>
      <c r="G204" s="4">
        <v>7</v>
      </c>
      <c r="H204" s="4">
        <v>0</v>
      </c>
      <c r="I204" s="4">
        <v>0</v>
      </c>
      <c r="J204" s="4">
        <v>5</v>
      </c>
      <c r="K204" s="4" t="s">
        <v>472</v>
      </c>
    </row>
    <row r="205" spans="1:11" ht="53.15" hidden="1" customHeight="1" x14ac:dyDescent="0.35">
      <c r="A205" s="4" t="s">
        <v>473</v>
      </c>
      <c r="B205" s="4" t="s">
        <v>470</v>
      </c>
      <c r="C205" s="4">
        <v>2023</v>
      </c>
      <c r="D205" s="4" t="s">
        <v>254</v>
      </c>
      <c r="E205" s="4">
        <v>5</v>
      </c>
      <c r="F205" s="4" t="s">
        <v>59</v>
      </c>
      <c r="G205" s="4">
        <v>39</v>
      </c>
      <c r="H205" s="4">
        <v>0</v>
      </c>
      <c r="I205" s="4">
        <v>7</v>
      </c>
      <c r="J205" s="4">
        <v>10</v>
      </c>
      <c r="K205" s="4" t="s">
        <v>472</v>
      </c>
    </row>
    <row r="206" spans="1:11" ht="53.15" hidden="1" customHeight="1" x14ac:dyDescent="0.35">
      <c r="A206" s="4" t="s">
        <v>481</v>
      </c>
      <c r="B206" s="4" t="s">
        <v>470</v>
      </c>
      <c r="C206" s="4">
        <v>2023</v>
      </c>
      <c r="D206" s="4" t="s">
        <v>254</v>
      </c>
      <c r="E206" s="4">
        <v>3</v>
      </c>
      <c r="F206" s="4" t="s">
        <v>254</v>
      </c>
      <c r="G206" s="4">
        <v>19</v>
      </c>
      <c r="H206" s="4">
        <v>0</v>
      </c>
      <c r="I206" s="4">
        <v>0</v>
      </c>
      <c r="J206" s="4">
        <v>0</v>
      </c>
      <c r="K206" s="4" t="s">
        <v>472</v>
      </c>
    </row>
    <row r="207" spans="1:11" ht="53.15" hidden="1" customHeight="1" x14ac:dyDescent="0.35">
      <c r="A207" s="4" t="s">
        <v>482</v>
      </c>
      <c r="B207" s="4" t="s">
        <v>470</v>
      </c>
      <c r="C207" s="4">
        <v>2023</v>
      </c>
      <c r="D207" s="4" t="s">
        <v>254</v>
      </c>
      <c r="E207" s="4">
        <v>1</v>
      </c>
      <c r="F207" s="4" t="s">
        <v>17</v>
      </c>
      <c r="G207" s="4">
        <v>12</v>
      </c>
      <c r="H207" s="4">
        <v>0</v>
      </c>
      <c r="I207" s="4">
        <v>2</v>
      </c>
      <c r="J207" s="4">
        <v>2</v>
      </c>
      <c r="K207" s="4" t="s">
        <v>472</v>
      </c>
    </row>
    <row r="208" spans="1:11" ht="53.15" hidden="1" customHeight="1" x14ac:dyDescent="0.35">
      <c r="A208" s="4" t="s">
        <v>483</v>
      </c>
      <c r="B208" s="4" t="s">
        <v>470</v>
      </c>
      <c r="C208" s="4">
        <v>2023</v>
      </c>
      <c r="D208" s="4" t="s">
        <v>254</v>
      </c>
      <c r="E208" s="4">
        <v>3</v>
      </c>
      <c r="F208" s="4" t="s">
        <v>387</v>
      </c>
      <c r="G208" s="4">
        <v>16</v>
      </c>
      <c r="H208" s="4">
        <v>0</v>
      </c>
      <c r="I208" s="4">
        <v>0</v>
      </c>
      <c r="J208" s="4">
        <v>6</v>
      </c>
      <c r="K208" s="4" t="s">
        <v>472</v>
      </c>
    </row>
    <row r="209" spans="1:11" ht="53.15" hidden="1" customHeight="1" x14ac:dyDescent="0.35">
      <c r="A209" s="4" t="s">
        <v>484</v>
      </c>
      <c r="B209" s="4" t="s">
        <v>470</v>
      </c>
      <c r="C209" s="4">
        <v>2023</v>
      </c>
      <c r="D209" s="4" t="s">
        <v>254</v>
      </c>
      <c r="E209" s="4">
        <v>3</v>
      </c>
      <c r="F209" s="4" t="s">
        <v>359</v>
      </c>
      <c r="G209" s="4">
        <v>27</v>
      </c>
      <c r="H209" s="4">
        <v>0</v>
      </c>
      <c r="I209" s="4">
        <v>0</v>
      </c>
      <c r="J209" s="4">
        <v>4</v>
      </c>
      <c r="K209" s="4" t="s">
        <v>472</v>
      </c>
    </row>
    <row r="210" spans="1:11" ht="53.15" hidden="1" customHeight="1" x14ac:dyDescent="0.35">
      <c r="A210" s="4" t="s">
        <v>485</v>
      </c>
      <c r="B210" s="4" t="s">
        <v>470</v>
      </c>
      <c r="C210" s="4">
        <v>2023</v>
      </c>
      <c r="D210" s="4" t="s">
        <v>254</v>
      </c>
      <c r="E210" s="4">
        <v>5</v>
      </c>
      <c r="F210" s="4" t="s">
        <v>69</v>
      </c>
      <c r="G210" s="4">
        <v>20</v>
      </c>
      <c r="H210" s="4">
        <v>0</v>
      </c>
      <c r="I210" s="4">
        <v>1</v>
      </c>
      <c r="J210" s="4">
        <v>7</v>
      </c>
      <c r="K210" s="4" t="s">
        <v>472</v>
      </c>
    </row>
    <row r="211" spans="1:11" ht="53.15" hidden="1" customHeight="1" x14ac:dyDescent="0.35">
      <c r="A211" s="4" t="s">
        <v>486</v>
      </c>
      <c r="B211" s="4" t="s">
        <v>470</v>
      </c>
      <c r="C211" s="4">
        <v>2023</v>
      </c>
      <c r="D211" s="4" t="s">
        <v>254</v>
      </c>
      <c r="E211" s="4">
        <v>5</v>
      </c>
      <c r="F211" s="4" t="s">
        <v>56</v>
      </c>
      <c r="G211" s="4">
        <v>18</v>
      </c>
      <c r="H211" s="4">
        <v>0</v>
      </c>
      <c r="I211" s="4">
        <v>1</v>
      </c>
      <c r="J211" s="4">
        <v>7</v>
      </c>
      <c r="K211" s="4" t="s">
        <v>472</v>
      </c>
    </row>
    <row r="212" spans="1:11" ht="53.15" hidden="1" customHeight="1" x14ac:dyDescent="0.35">
      <c r="A212" s="4" t="s">
        <v>487</v>
      </c>
      <c r="B212" s="4" t="s">
        <v>470</v>
      </c>
      <c r="C212" s="4">
        <v>2023</v>
      </c>
      <c r="D212" s="4" t="s">
        <v>254</v>
      </c>
      <c r="E212" s="4">
        <v>2</v>
      </c>
      <c r="F212" s="4" t="s">
        <v>14</v>
      </c>
      <c r="G212" s="4">
        <v>41</v>
      </c>
      <c r="H212" s="4">
        <v>0</v>
      </c>
      <c r="I212" s="4">
        <v>1</v>
      </c>
      <c r="J212" s="4">
        <v>5</v>
      </c>
      <c r="K212" s="4" t="s">
        <v>472</v>
      </c>
    </row>
    <row r="213" spans="1:11" ht="53.15" hidden="1" customHeight="1" x14ac:dyDescent="0.35">
      <c r="A213" s="4" t="s">
        <v>488</v>
      </c>
      <c r="B213" s="4" t="s">
        <v>470</v>
      </c>
      <c r="C213" s="4">
        <v>2023</v>
      </c>
      <c r="D213" s="4" t="s">
        <v>254</v>
      </c>
      <c r="E213" s="4">
        <v>2</v>
      </c>
      <c r="F213" s="4" t="s">
        <v>51</v>
      </c>
      <c r="G213" s="4">
        <v>26</v>
      </c>
      <c r="H213" s="4">
        <v>0</v>
      </c>
      <c r="I213" s="4">
        <v>1</v>
      </c>
      <c r="J213" s="4">
        <v>8</v>
      </c>
      <c r="K213" s="4" t="s">
        <v>472</v>
      </c>
    </row>
    <row r="214" spans="1:11" ht="53.15" hidden="1" customHeight="1" x14ac:dyDescent="0.35">
      <c r="A214" s="4" t="s">
        <v>489</v>
      </c>
      <c r="B214" s="4" t="s">
        <v>470</v>
      </c>
      <c r="C214" s="4">
        <v>2023</v>
      </c>
      <c r="D214" s="4" t="s">
        <v>254</v>
      </c>
      <c r="E214" s="4">
        <v>5</v>
      </c>
      <c r="F214" s="4" t="s">
        <v>69</v>
      </c>
      <c r="G214" s="4">
        <v>35</v>
      </c>
      <c r="H214" s="4">
        <v>0</v>
      </c>
      <c r="I214" s="4">
        <v>4</v>
      </c>
      <c r="J214" s="4">
        <v>12</v>
      </c>
      <c r="K214" s="4" t="s">
        <v>472</v>
      </c>
    </row>
    <row r="215" spans="1:11" ht="53.15" hidden="1" customHeight="1" x14ac:dyDescent="0.35">
      <c r="A215" s="4" t="s">
        <v>490</v>
      </c>
      <c r="B215" s="4" t="s">
        <v>470</v>
      </c>
      <c r="C215" s="4">
        <v>2023</v>
      </c>
      <c r="D215" s="4" t="s">
        <v>254</v>
      </c>
      <c r="E215" s="4">
        <v>3</v>
      </c>
      <c r="F215" s="4" t="s">
        <v>77</v>
      </c>
      <c r="G215" s="4">
        <v>22</v>
      </c>
      <c r="H215" s="4">
        <v>0</v>
      </c>
      <c r="I215" s="4">
        <v>1</v>
      </c>
      <c r="J215" s="4">
        <v>5</v>
      </c>
      <c r="K215" s="4" t="s">
        <v>472</v>
      </c>
    </row>
    <row r="216" spans="1:11" ht="53.15" hidden="1" customHeight="1" x14ac:dyDescent="0.35">
      <c r="A216" s="4" t="s">
        <v>491</v>
      </c>
      <c r="B216" s="4" t="s">
        <v>470</v>
      </c>
      <c r="C216" s="4">
        <v>2023</v>
      </c>
      <c r="D216" s="4" t="s">
        <v>254</v>
      </c>
      <c r="E216" s="4">
        <v>2</v>
      </c>
      <c r="F216" s="4" t="s">
        <v>492</v>
      </c>
      <c r="G216" s="4">
        <v>45</v>
      </c>
      <c r="H216" s="4">
        <v>0</v>
      </c>
      <c r="I216" s="4">
        <v>4</v>
      </c>
      <c r="J216" s="4">
        <v>13</v>
      </c>
      <c r="K216" s="4" t="s">
        <v>472</v>
      </c>
    </row>
    <row r="217" spans="1:11" ht="53.15" hidden="1" customHeight="1" x14ac:dyDescent="0.35">
      <c r="A217" s="4" t="s">
        <v>493</v>
      </c>
      <c r="B217" s="4" t="s">
        <v>470</v>
      </c>
      <c r="C217" s="4">
        <v>2023</v>
      </c>
      <c r="D217" s="4" t="s">
        <v>254</v>
      </c>
      <c r="E217" s="4">
        <v>7</v>
      </c>
      <c r="F217" s="4" t="s">
        <v>77</v>
      </c>
      <c r="G217" s="4">
        <v>22</v>
      </c>
      <c r="H217" s="4">
        <v>1</v>
      </c>
      <c r="I217" s="4">
        <v>1</v>
      </c>
      <c r="J217" s="4">
        <v>10</v>
      </c>
      <c r="K217" s="4" t="s">
        <v>472</v>
      </c>
    </row>
    <row r="218" spans="1:11" ht="53.15" hidden="1" customHeight="1" x14ac:dyDescent="0.35">
      <c r="A218" s="4" t="s">
        <v>494</v>
      </c>
      <c r="B218" s="4" t="s">
        <v>470</v>
      </c>
      <c r="C218" s="4">
        <v>2023</v>
      </c>
      <c r="D218" s="4" t="s">
        <v>254</v>
      </c>
      <c r="E218" s="4">
        <v>3</v>
      </c>
      <c r="F218" s="4" t="s">
        <v>495</v>
      </c>
      <c r="G218" s="4">
        <v>14</v>
      </c>
      <c r="H218" s="4">
        <v>0</v>
      </c>
      <c r="I218" s="4">
        <v>3</v>
      </c>
      <c r="J218" s="4">
        <v>6</v>
      </c>
      <c r="K218" s="4" t="s">
        <v>472</v>
      </c>
    </row>
    <row r="219" spans="1:11" ht="53.15" hidden="1" customHeight="1" x14ac:dyDescent="0.35">
      <c r="A219" s="4" t="s">
        <v>496</v>
      </c>
      <c r="B219" s="4" t="s">
        <v>470</v>
      </c>
      <c r="C219" s="4">
        <v>2023</v>
      </c>
      <c r="D219" s="4" t="s">
        <v>254</v>
      </c>
      <c r="E219" s="4">
        <v>2</v>
      </c>
      <c r="F219" s="4" t="s">
        <v>77</v>
      </c>
      <c r="G219" s="4">
        <v>24</v>
      </c>
      <c r="H219" s="4">
        <v>0</v>
      </c>
      <c r="I219" s="4">
        <v>3</v>
      </c>
      <c r="J219" s="4">
        <v>9</v>
      </c>
      <c r="K219" s="4" t="s">
        <v>472</v>
      </c>
    </row>
    <row r="220" spans="1:11" ht="53.15" hidden="1" customHeight="1" x14ac:dyDescent="0.35">
      <c r="A220" s="4" t="s">
        <v>497</v>
      </c>
      <c r="B220" s="4" t="s">
        <v>470</v>
      </c>
      <c r="C220" s="4">
        <v>2023</v>
      </c>
      <c r="D220" s="4" t="s">
        <v>254</v>
      </c>
      <c r="E220" s="4">
        <v>5</v>
      </c>
      <c r="F220" s="4" t="s">
        <v>51</v>
      </c>
      <c r="G220" s="4">
        <v>51</v>
      </c>
      <c r="H220" s="4">
        <v>0</v>
      </c>
      <c r="I220" s="4">
        <v>4</v>
      </c>
      <c r="J220" s="4">
        <v>14</v>
      </c>
      <c r="K220" s="4" t="s">
        <v>472</v>
      </c>
    </row>
    <row r="221" spans="1:11" ht="53.15" hidden="1" customHeight="1" x14ac:dyDescent="0.35">
      <c r="A221" s="4" t="s">
        <v>498</v>
      </c>
      <c r="B221" s="4" t="s">
        <v>470</v>
      </c>
      <c r="C221" s="4">
        <v>2023</v>
      </c>
      <c r="D221" s="4" t="s">
        <v>254</v>
      </c>
      <c r="E221" s="4">
        <v>3</v>
      </c>
      <c r="F221" s="4" t="s">
        <v>145</v>
      </c>
      <c r="G221" s="4">
        <v>21</v>
      </c>
      <c r="H221" s="4">
        <v>0</v>
      </c>
      <c r="I221" s="4">
        <v>2</v>
      </c>
      <c r="J221" s="4">
        <v>7</v>
      </c>
      <c r="K221" s="4" t="s">
        <v>472</v>
      </c>
    </row>
    <row r="222" spans="1:11" ht="53.15" hidden="1" customHeight="1" x14ac:dyDescent="0.35">
      <c r="A222" s="4" t="s">
        <v>499</v>
      </c>
      <c r="B222" s="4" t="s">
        <v>470</v>
      </c>
      <c r="C222" s="4">
        <v>2023</v>
      </c>
      <c r="D222" s="4" t="s">
        <v>254</v>
      </c>
      <c r="E222" s="4">
        <v>5</v>
      </c>
      <c r="F222" s="4" t="s">
        <v>500</v>
      </c>
      <c r="G222" s="4">
        <v>32</v>
      </c>
      <c r="H222" s="4">
        <v>0</v>
      </c>
      <c r="I222" s="4">
        <v>2</v>
      </c>
      <c r="J222" s="4">
        <v>5</v>
      </c>
      <c r="K222" s="4" t="s">
        <v>472</v>
      </c>
    </row>
    <row r="223" spans="1:11" ht="53.15" hidden="1" customHeight="1" x14ac:dyDescent="0.35">
      <c r="A223" s="4" t="s">
        <v>501</v>
      </c>
      <c r="B223" s="4" t="s">
        <v>470</v>
      </c>
      <c r="C223" s="4">
        <v>2023</v>
      </c>
      <c r="D223" s="4" t="s">
        <v>254</v>
      </c>
      <c r="E223" s="4">
        <v>3</v>
      </c>
      <c r="F223" s="4" t="s">
        <v>123</v>
      </c>
      <c r="G223" s="4">
        <v>55</v>
      </c>
      <c r="H223" s="4">
        <v>0</v>
      </c>
      <c r="I223" s="4">
        <v>1</v>
      </c>
      <c r="J223" s="4">
        <v>11</v>
      </c>
      <c r="K223" s="4" t="s">
        <v>472</v>
      </c>
    </row>
    <row r="224" spans="1:11" ht="53.15" hidden="1" customHeight="1" x14ac:dyDescent="0.35">
      <c r="A224" s="4" t="s">
        <v>502</v>
      </c>
      <c r="B224" s="4" t="s">
        <v>470</v>
      </c>
      <c r="C224" s="4">
        <v>2023</v>
      </c>
      <c r="D224" s="4" t="s">
        <v>254</v>
      </c>
      <c r="E224" s="4">
        <v>2</v>
      </c>
      <c r="F224" s="4" t="s">
        <v>503</v>
      </c>
      <c r="G224" s="4">
        <v>18</v>
      </c>
      <c r="H224" s="4">
        <v>0</v>
      </c>
      <c r="I224" s="4">
        <v>0</v>
      </c>
      <c r="J224" s="4">
        <v>18</v>
      </c>
      <c r="K224" s="4" t="s">
        <v>472</v>
      </c>
    </row>
    <row r="225" spans="1:11" ht="53.15" hidden="1" customHeight="1" x14ac:dyDescent="0.35">
      <c r="A225" s="4" t="s">
        <v>504</v>
      </c>
      <c r="B225" s="4" t="s">
        <v>470</v>
      </c>
      <c r="C225" s="4">
        <v>2023</v>
      </c>
      <c r="D225" s="4" t="s">
        <v>254</v>
      </c>
      <c r="E225" s="4">
        <v>4</v>
      </c>
      <c r="F225" s="4" t="s">
        <v>359</v>
      </c>
      <c r="G225" s="4">
        <v>19</v>
      </c>
      <c r="H225" s="4">
        <v>0</v>
      </c>
      <c r="I225" s="4">
        <v>1</v>
      </c>
      <c r="J225" s="4">
        <v>3</v>
      </c>
      <c r="K225" s="4" t="s">
        <v>472</v>
      </c>
    </row>
    <row r="226" spans="1:11" ht="53.15" hidden="1" customHeight="1" x14ac:dyDescent="0.35">
      <c r="A226" s="4" t="s">
        <v>505</v>
      </c>
      <c r="B226" s="4" t="s">
        <v>470</v>
      </c>
      <c r="C226" s="4">
        <v>2023</v>
      </c>
      <c r="D226" s="4" t="s">
        <v>254</v>
      </c>
      <c r="E226" s="4">
        <v>7</v>
      </c>
      <c r="F226" s="4" t="s">
        <v>254</v>
      </c>
      <c r="G226" s="4">
        <v>36</v>
      </c>
      <c r="H226" s="4">
        <v>0</v>
      </c>
      <c r="I226" s="4">
        <v>1</v>
      </c>
      <c r="J226" s="4">
        <v>1</v>
      </c>
      <c r="K226" s="4" t="s">
        <v>472</v>
      </c>
    </row>
    <row r="227" spans="1:11" ht="53.15" hidden="1" customHeight="1" x14ac:dyDescent="0.35">
      <c r="A227" s="4" t="s">
        <v>506</v>
      </c>
      <c r="B227" s="4" t="s">
        <v>470</v>
      </c>
      <c r="C227" s="4">
        <v>2023</v>
      </c>
      <c r="D227" s="4" t="s">
        <v>254</v>
      </c>
      <c r="E227" s="4">
        <v>5</v>
      </c>
      <c r="F227" s="4" t="s">
        <v>14</v>
      </c>
      <c r="G227" s="4">
        <v>29</v>
      </c>
      <c r="H227" s="4">
        <v>1</v>
      </c>
      <c r="I227" s="4">
        <v>0</v>
      </c>
      <c r="J227" s="4">
        <v>9</v>
      </c>
      <c r="K227" s="4" t="s">
        <v>472</v>
      </c>
    </row>
    <row r="228" spans="1:11" ht="53.15" hidden="1" customHeight="1" x14ac:dyDescent="0.35">
      <c r="A228" s="4" t="s">
        <v>507</v>
      </c>
      <c r="B228" s="4" t="s">
        <v>470</v>
      </c>
      <c r="C228" s="4">
        <v>2023</v>
      </c>
      <c r="D228" s="4" t="s">
        <v>254</v>
      </c>
      <c r="E228" s="4">
        <v>3</v>
      </c>
      <c r="F228" s="4" t="s">
        <v>69</v>
      </c>
      <c r="G228" s="4">
        <v>35</v>
      </c>
      <c r="H228" s="4">
        <v>0</v>
      </c>
      <c r="I228" s="4">
        <v>0</v>
      </c>
      <c r="J228" s="4">
        <v>7</v>
      </c>
      <c r="K228" s="4" t="s">
        <v>472</v>
      </c>
    </row>
    <row r="229" spans="1:11" ht="53.15" hidden="1" customHeight="1" x14ac:dyDescent="0.35">
      <c r="A229" s="4" t="s">
        <v>508</v>
      </c>
      <c r="B229" s="4" t="s">
        <v>470</v>
      </c>
      <c r="C229" s="4">
        <v>2023</v>
      </c>
      <c r="D229" s="4" t="s">
        <v>254</v>
      </c>
      <c r="E229" s="4">
        <v>3</v>
      </c>
      <c r="F229" s="4" t="s">
        <v>77</v>
      </c>
      <c r="G229" s="4">
        <v>42</v>
      </c>
      <c r="H229" s="4">
        <v>0</v>
      </c>
      <c r="I229" s="4">
        <v>6</v>
      </c>
      <c r="J229" s="4">
        <v>9</v>
      </c>
      <c r="K229" s="4" t="s">
        <v>472</v>
      </c>
    </row>
    <row r="230" spans="1:11" ht="53.15" hidden="1" customHeight="1" x14ac:dyDescent="0.35">
      <c r="A230" s="4" t="s">
        <v>509</v>
      </c>
      <c r="B230" s="4" t="s">
        <v>470</v>
      </c>
      <c r="C230" s="4">
        <v>2023</v>
      </c>
      <c r="D230" s="4" t="s">
        <v>254</v>
      </c>
      <c r="E230" s="4">
        <v>2</v>
      </c>
      <c r="F230" s="4" t="s">
        <v>17</v>
      </c>
      <c r="G230" s="4">
        <v>50</v>
      </c>
      <c r="H230" s="4">
        <v>0</v>
      </c>
      <c r="I230" s="4">
        <v>0</v>
      </c>
      <c r="J230" s="4">
        <v>7</v>
      </c>
      <c r="K230" s="4" t="s">
        <v>472</v>
      </c>
    </row>
    <row r="231" spans="1:11" ht="53.15" hidden="1" customHeight="1" x14ac:dyDescent="0.35">
      <c r="A231" s="4" t="s">
        <v>510</v>
      </c>
      <c r="B231" s="4" t="s">
        <v>470</v>
      </c>
      <c r="C231" s="4">
        <v>2023</v>
      </c>
      <c r="D231" s="4" t="s">
        <v>254</v>
      </c>
      <c r="E231" s="4">
        <v>4</v>
      </c>
      <c r="F231" s="4" t="s">
        <v>59</v>
      </c>
      <c r="G231" s="4">
        <v>10</v>
      </c>
      <c r="H231" s="4">
        <v>0</v>
      </c>
      <c r="I231" s="4">
        <v>0</v>
      </c>
      <c r="J231" s="4">
        <v>7</v>
      </c>
      <c r="K231" s="4" t="s">
        <v>472</v>
      </c>
    </row>
    <row r="232" spans="1:11" ht="53.15" hidden="1" customHeight="1" x14ac:dyDescent="0.35">
      <c r="A232" s="4" t="s">
        <v>511</v>
      </c>
      <c r="B232" s="4" t="s">
        <v>470</v>
      </c>
      <c r="C232" s="4">
        <v>2023</v>
      </c>
      <c r="D232" s="4" t="s">
        <v>254</v>
      </c>
      <c r="E232" s="4">
        <v>4</v>
      </c>
      <c r="F232" s="4" t="s">
        <v>118</v>
      </c>
      <c r="G232" s="4">
        <v>3</v>
      </c>
      <c r="H232" s="4">
        <v>0</v>
      </c>
      <c r="I232" s="4">
        <v>0</v>
      </c>
      <c r="J232" s="4">
        <v>6</v>
      </c>
      <c r="K232" s="4" t="s">
        <v>472</v>
      </c>
    </row>
    <row r="233" spans="1:11" ht="53.15" hidden="1" customHeight="1" x14ac:dyDescent="0.35">
      <c r="A233" s="4" t="s">
        <v>512</v>
      </c>
      <c r="B233" s="4" t="s">
        <v>470</v>
      </c>
      <c r="C233" s="4">
        <v>2023</v>
      </c>
      <c r="D233" s="4" t="s">
        <v>254</v>
      </c>
      <c r="E233" s="4">
        <v>2</v>
      </c>
      <c r="F233" s="4" t="s">
        <v>495</v>
      </c>
      <c r="G233" s="4">
        <v>14</v>
      </c>
      <c r="H233" s="4">
        <v>0</v>
      </c>
      <c r="I233" s="4">
        <v>0</v>
      </c>
      <c r="J233" s="4">
        <v>4</v>
      </c>
      <c r="K233" s="4" t="s">
        <v>472</v>
      </c>
    </row>
    <row r="234" spans="1:11" ht="53.15" hidden="1" customHeight="1" x14ac:dyDescent="0.35">
      <c r="A234" s="4" t="s">
        <v>513</v>
      </c>
      <c r="B234" s="4" t="s">
        <v>470</v>
      </c>
      <c r="C234" s="4">
        <v>2024</v>
      </c>
      <c r="D234" s="4" t="s">
        <v>353</v>
      </c>
      <c r="E234" s="4">
        <v>2</v>
      </c>
      <c r="F234" s="4" t="s">
        <v>17</v>
      </c>
      <c r="G234" s="4">
        <v>44</v>
      </c>
      <c r="H234" s="4">
        <v>1</v>
      </c>
      <c r="I234" s="4">
        <v>7</v>
      </c>
      <c r="J234" s="4">
        <v>13</v>
      </c>
      <c r="K234" s="4" t="s">
        <v>472</v>
      </c>
    </row>
    <row r="235" spans="1:11" ht="53.15" hidden="1" customHeight="1" x14ac:dyDescent="0.35">
      <c r="A235" s="4" t="s">
        <v>514</v>
      </c>
      <c r="B235" s="4" t="s">
        <v>470</v>
      </c>
      <c r="C235" s="4">
        <v>2024</v>
      </c>
      <c r="D235" s="4" t="s">
        <v>353</v>
      </c>
      <c r="E235" s="4">
        <v>3</v>
      </c>
      <c r="F235" s="4" t="s">
        <v>51</v>
      </c>
      <c r="G235" s="4">
        <v>29</v>
      </c>
      <c r="H235" s="4">
        <v>0</v>
      </c>
      <c r="I235" s="4">
        <v>4</v>
      </c>
      <c r="J235" s="4">
        <v>5</v>
      </c>
      <c r="K235" s="4" t="s">
        <v>472</v>
      </c>
    </row>
    <row r="236" spans="1:11" ht="53.15" hidden="1" customHeight="1" x14ac:dyDescent="0.35">
      <c r="A236" s="4" t="s">
        <v>515</v>
      </c>
      <c r="B236" s="4" t="s">
        <v>470</v>
      </c>
      <c r="C236" s="4">
        <v>2024</v>
      </c>
      <c r="D236" s="4" t="s">
        <v>353</v>
      </c>
      <c r="E236" s="4">
        <v>1</v>
      </c>
      <c r="F236" s="4" t="s">
        <v>17</v>
      </c>
      <c r="G236" s="4">
        <v>38</v>
      </c>
      <c r="H236" s="4">
        <v>0</v>
      </c>
      <c r="I236" s="4">
        <v>5</v>
      </c>
      <c r="J236" s="4">
        <v>10</v>
      </c>
      <c r="K236" s="4" t="s">
        <v>472</v>
      </c>
    </row>
    <row r="237" spans="1:11" ht="53.15" hidden="1" customHeight="1" x14ac:dyDescent="0.35">
      <c r="A237" s="4" t="s">
        <v>516</v>
      </c>
      <c r="B237" s="4" t="s">
        <v>470</v>
      </c>
      <c r="C237" s="4">
        <v>2024</v>
      </c>
      <c r="D237" s="4" t="s">
        <v>353</v>
      </c>
      <c r="E237" s="4">
        <v>4</v>
      </c>
      <c r="F237" s="4" t="s">
        <v>17</v>
      </c>
      <c r="G237" s="4">
        <v>46</v>
      </c>
      <c r="H237" s="4">
        <v>0</v>
      </c>
      <c r="I237" s="4">
        <v>5</v>
      </c>
      <c r="J237" s="4">
        <v>21</v>
      </c>
      <c r="K237" s="4" t="s">
        <v>472</v>
      </c>
    </row>
    <row r="238" spans="1:11" ht="53.15" hidden="1" customHeight="1" x14ac:dyDescent="0.35">
      <c r="A238" s="4" t="s">
        <v>517</v>
      </c>
      <c r="B238" s="4" t="s">
        <v>470</v>
      </c>
      <c r="C238" s="4">
        <v>2024</v>
      </c>
      <c r="D238" s="4" t="s">
        <v>353</v>
      </c>
      <c r="E238" s="4">
        <v>6</v>
      </c>
      <c r="F238" s="4" t="s">
        <v>259</v>
      </c>
      <c r="G238" s="4">
        <v>31</v>
      </c>
      <c r="H238" s="4">
        <v>0</v>
      </c>
      <c r="I238" s="4">
        <v>3</v>
      </c>
      <c r="J238" s="4">
        <v>13</v>
      </c>
      <c r="K238" s="4" t="s">
        <v>472</v>
      </c>
    </row>
    <row r="239" spans="1:11" ht="53.15" hidden="1" customHeight="1" x14ac:dyDescent="0.35">
      <c r="A239" s="4" t="s">
        <v>520</v>
      </c>
      <c r="B239" s="4" t="s">
        <v>470</v>
      </c>
      <c r="C239" s="4">
        <v>2024</v>
      </c>
      <c r="D239" s="4" t="s">
        <v>353</v>
      </c>
      <c r="E239" s="4">
        <v>7</v>
      </c>
      <c r="F239" s="4" t="s">
        <v>254</v>
      </c>
      <c r="G239" s="4">
        <v>43</v>
      </c>
      <c r="H239" s="4">
        <v>0</v>
      </c>
      <c r="I239" s="4">
        <v>5</v>
      </c>
      <c r="J239" s="4">
        <v>12</v>
      </c>
      <c r="K239" s="4" t="s">
        <v>472</v>
      </c>
    </row>
    <row r="240" spans="1:11" ht="53.15" hidden="1" customHeight="1" x14ac:dyDescent="0.35">
      <c r="A240" s="4" t="s">
        <v>518</v>
      </c>
      <c r="B240" s="4" t="s">
        <v>470</v>
      </c>
      <c r="C240" s="4">
        <v>2024</v>
      </c>
      <c r="D240" s="4" t="s">
        <v>353</v>
      </c>
      <c r="E240" s="4">
        <v>3</v>
      </c>
      <c r="F240" s="4" t="s">
        <v>259</v>
      </c>
      <c r="G240" s="4">
        <v>32</v>
      </c>
      <c r="H240" s="4">
        <v>0</v>
      </c>
      <c r="I240" s="4">
        <v>6</v>
      </c>
      <c r="J240" s="4">
        <v>9</v>
      </c>
      <c r="K240" s="4" t="s">
        <v>472</v>
      </c>
    </row>
    <row r="241" spans="1:11" ht="53.15" hidden="1" customHeight="1" x14ac:dyDescent="0.35">
      <c r="A241" s="4" t="s">
        <v>519</v>
      </c>
      <c r="B241" s="4" t="s">
        <v>470</v>
      </c>
      <c r="C241" s="4">
        <v>2024</v>
      </c>
      <c r="D241" s="4" t="s">
        <v>353</v>
      </c>
      <c r="E241" s="4">
        <v>4</v>
      </c>
      <c r="F241" s="4" t="s">
        <v>56</v>
      </c>
      <c r="G241" s="4">
        <v>17</v>
      </c>
      <c r="H241" s="4">
        <v>0</v>
      </c>
      <c r="I241" s="4">
        <v>0</v>
      </c>
      <c r="J241" s="4">
        <v>4</v>
      </c>
      <c r="K241" s="4" t="s">
        <v>472</v>
      </c>
    </row>
    <row r="242" spans="1:11" ht="53.15" hidden="1" customHeight="1" x14ac:dyDescent="0.35">
      <c r="A242" s="4" t="s">
        <v>521</v>
      </c>
      <c r="B242" s="4" t="s">
        <v>470</v>
      </c>
      <c r="C242" s="4">
        <v>2024</v>
      </c>
      <c r="D242" s="4" t="s">
        <v>353</v>
      </c>
      <c r="E242" s="4">
        <v>8</v>
      </c>
      <c r="F242" s="4" t="s">
        <v>66</v>
      </c>
      <c r="G242" s="4">
        <v>45</v>
      </c>
      <c r="H242" s="4">
        <v>0</v>
      </c>
      <c r="I242" s="4">
        <v>3</v>
      </c>
      <c r="J242" s="4">
        <v>11</v>
      </c>
      <c r="K242" s="4" t="s">
        <v>472</v>
      </c>
    </row>
    <row r="243" spans="1:11" ht="53.15" hidden="1" customHeight="1" x14ac:dyDescent="0.35">
      <c r="A243" s="4" t="s">
        <v>522</v>
      </c>
      <c r="B243" s="4" t="s">
        <v>470</v>
      </c>
      <c r="C243" s="4">
        <v>2024</v>
      </c>
      <c r="D243" s="4" t="s">
        <v>353</v>
      </c>
      <c r="E243" s="4">
        <v>4</v>
      </c>
      <c r="F243" s="4" t="s">
        <v>118</v>
      </c>
      <c r="G243" s="4">
        <v>21</v>
      </c>
      <c r="H243" s="4">
        <v>0</v>
      </c>
      <c r="I243" s="4">
        <v>3</v>
      </c>
      <c r="J243" s="4">
        <v>5</v>
      </c>
      <c r="K243" s="4" t="s">
        <v>472</v>
      </c>
    </row>
    <row r="244" spans="1:11" ht="53.15" hidden="1" customHeight="1" x14ac:dyDescent="0.35">
      <c r="A244" s="4" t="s">
        <v>523</v>
      </c>
      <c r="B244" s="4" t="s">
        <v>470</v>
      </c>
      <c r="C244" s="4">
        <v>2024</v>
      </c>
      <c r="D244" s="4" t="s">
        <v>353</v>
      </c>
      <c r="E244" s="4">
        <v>3</v>
      </c>
      <c r="F244" s="4" t="s">
        <v>17</v>
      </c>
      <c r="G244" s="4">
        <v>62</v>
      </c>
      <c r="H244" s="4">
        <v>0</v>
      </c>
      <c r="I244" s="4">
        <v>0</v>
      </c>
      <c r="J244" s="4">
        <v>14</v>
      </c>
      <c r="K244" s="4" t="s">
        <v>472</v>
      </c>
    </row>
    <row r="245" spans="1:11" ht="53.15" hidden="1" customHeight="1" x14ac:dyDescent="0.35">
      <c r="A245" s="4" t="s">
        <v>524</v>
      </c>
      <c r="B245" s="4" t="s">
        <v>470</v>
      </c>
      <c r="C245" s="4">
        <v>2024</v>
      </c>
      <c r="D245" s="4" t="s">
        <v>353</v>
      </c>
      <c r="E245" s="4">
        <v>8</v>
      </c>
      <c r="F245" s="4" t="s">
        <v>14</v>
      </c>
      <c r="G245" s="4">
        <v>43</v>
      </c>
      <c r="H245" s="4">
        <v>0</v>
      </c>
      <c r="I245" s="4">
        <v>2</v>
      </c>
      <c r="J245" s="4">
        <v>26</v>
      </c>
      <c r="K245" s="4" t="s">
        <v>472</v>
      </c>
    </row>
    <row r="246" spans="1:11" ht="53.15" hidden="1" customHeight="1" x14ac:dyDescent="0.35">
      <c r="A246" s="4" t="s">
        <v>525</v>
      </c>
      <c r="B246" s="4" t="s">
        <v>470</v>
      </c>
      <c r="C246" s="4">
        <v>2024</v>
      </c>
      <c r="D246" s="4" t="s">
        <v>353</v>
      </c>
      <c r="E246" s="4">
        <v>6</v>
      </c>
      <c r="F246" s="4" t="s">
        <v>259</v>
      </c>
      <c r="G246" s="4">
        <v>35</v>
      </c>
      <c r="H246" s="4">
        <v>1</v>
      </c>
      <c r="I246" s="4">
        <v>0</v>
      </c>
      <c r="J246" s="4">
        <v>8</v>
      </c>
      <c r="K246" s="4" t="s">
        <v>472</v>
      </c>
    </row>
    <row r="247" spans="1:11" ht="53.15" hidden="1" customHeight="1" x14ac:dyDescent="0.35">
      <c r="A247" s="4" t="s">
        <v>526</v>
      </c>
      <c r="B247" s="4" t="s">
        <v>470</v>
      </c>
      <c r="C247" s="4">
        <v>2024</v>
      </c>
      <c r="D247" s="4" t="s">
        <v>353</v>
      </c>
      <c r="E247" s="4">
        <v>5</v>
      </c>
      <c r="F247" s="4" t="s">
        <v>17</v>
      </c>
      <c r="G247" s="4">
        <v>43</v>
      </c>
      <c r="H247" s="4">
        <v>0</v>
      </c>
      <c r="I247" s="4">
        <v>4</v>
      </c>
      <c r="J247" s="4">
        <v>12</v>
      </c>
      <c r="K247" s="4" t="s">
        <v>472</v>
      </c>
    </row>
    <row r="248" spans="1:11" ht="53.15" hidden="1" customHeight="1" x14ac:dyDescent="0.35">
      <c r="A248" s="4" t="s">
        <v>527</v>
      </c>
      <c r="B248" s="4" t="s">
        <v>470</v>
      </c>
      <c r="C248" s="4">
        <v>2024</v>
      </c>
      <c r="D248" s="4" t="s">
        <v>353</v>
      </c>
      <c r="E248" s="4">
        <v>5</v>
      </c>
      <c r="F248" s="4" t="s">
        <v>77</v>
      </c>
      <c r="G248" s="4">
        <v>40</v>
      </c>
      <c r="H248" s="4">
        <v>0</v>
      </c>
      <c r="I248" s="4">
        <v>3</v>
      </c>
      <c r="J248" s="4">
        <v>9</v>
      </c>
      <c r="K248" s="4" t="s">
        <v>472</v>
      </c>
    </row>
    <row r="249" spans="1:11" ht="53.15" hidden="1" customHeight="1" x14ac:dyDescent="0.35">
      <c r="A249" s="4" t="s">
        <v>528</v>
      </c>
      <c r="B249" s="4" t="s">
        <v>470</v>
      </c>
      <c r="C249" s="4">
        <v>2024</v>
      </c>
      <c r="D249" s="4" t="s">
        <v>353</v>
      </c>
      <c r="E249" s="4">
        <v>6</v>
      </c>
      <c r="F249" s="4" t="s">
        <v>66</v>
      </c>
      <c r="G249" s="4">
        <v>39</v>
      </c>
      <c r="H249" s="4">
        <v>0</v>
      </c>
      <c r="I249" s="4">
        <v>0</v>
      </c>
      <c r="J249" s="4">
        <v>6</v>
      </c>
      <c r="K249" s="4" t="s">
        <v>472</v>
      </c>
    </row>
    <row r="250" spans="1:11" ht="53.15" hidden="1" customHeight="1" x14ac:dyDescent="0.35">
      <c r="A250" s="4" t="s">
        <v>529</v>
      </c>
      <c r="B250" s="4" t="s">
        <v>470</v>
      </c>
      <c r="C250" s="4">
        <v>2024</v>
      </c>
      <c r="D250" s="4" t="s">
        <v>353</v>
      </c>
      <c r="E250" s="4">
        <v>2</v>
      </c>
      <c r="F250" s="4" t="s">
        <v>17</v>
      </c>
      <c r="G250" s="4">
        <v>60</v>
      </c>
      <c r="H250" s="4">
        <v>0</v>
      </c>
      <c r="I250" s="4">
        <v>8</v>
      </c>
      <c r="J250" s="4">
        <v>16</v>
      </c>
      <c r="K250" s="4" t="s">
        <v>472</v>
      </c>
    </row>
    <row r="251" spans="1:11" ht="53.15" hidden="1" customHeight="1" x14ac:dyDescent="0.35">
      <c r="A251" s="4" t="s">
        <v>530</v>
      </c>
      <c r="B251" s="4" t="s">
        <v>470</v>
      </c>
      <c r="C251" s="4">
        <v>2024</v>
      </c>
      <c r="D251" s="4" t="s">
        <v>353</v>
      </c>
      <c r="E251" s="4">
        <v>2</v>
      </c>
      <c r="F251" s="4" t="s">
        <v>17</v>
      </c>
      <c r="G251" s="4">
        <v>33</v>
      </c>
      <c r="H251" s="4">
        <v>1</v>
      </c>
      <c r="I251" s="4">
        <v>2</v>
      </c>
      <c r="J251" s="4">
        <v>15</v>
      </c>
      <c r="K251" s="4" t="s">
        <v>472</v>
      </c>
    </row>
    <row r="252" spans="1:11" ht="53.15" hidden="1" customHeight="1" x14ac:dyDescent="0.35">
      <c r="A252" s="4" t="s">
        <v>531</v>
      </c>
      <c r="B252" s="4" t="s">
        <v>470</v>
      </c>
      <c r="C252" s="4">
        <v>2024</v>
      </c>
      <c r="D252" s="4" t="s">
        <v>353</v>
      </c>
      <c r="E252" s="4">
        <v>7</v>
      </c>
      <c r="F252" s="4" t="s">
        <v>77</v>
      </c>
      <c r="G252" s="4">
        <v>23</v>
      </c>
      <c r="H252" s="4">
        <v>0</v>
      </c>
      <c r="I252" s="4">
        <v>1</v>
      </c>
      <c r="J252" s="4">
        <v>8</v>
      </c>
      <c r="K252" s="4" t="s">
        <v>472</v>
      </c>
    </row>
    <row r="253" spans="1:11" ht="53.15" hidden="1" customHeight="1" x14ac:dyDescent="0.35">
      <c r="A253" s="4" t="s">
        <v>532</v>
      </c>
      <c r="B253" s="4" t="s">
        <v>470</v>
      </c>
      <c r="C253" s="4">
        <v>2024</v>
      </c>
      <c r="D253" s="4" t="s">
        <v>353</v>
      </c>
      <c r="E253" s="4">
        <v>2</v>
      </c>
      <c r="F253" s="4" t="s">
        <v>533</v>
      </c>
      <c r="G253" s="4">
        <v>35</v>
      </c>
      <c r="H253" s="4">
        <v>1</v>
      </c>
      <c r="I253" s="4">
        <v>0</v>
      </c>
      <c r="J253" s="4">
        <v>4</v>
      </c>
      <c r="K253" s="4" t="s">
        <v>472</v>
      </c>
    </row>
  </sheetData>
  <autoFilter ref="A1:K253" xr:uid="{00000000-0001-0000-0000-000000000000}">
    <filterColumn colId="1">
      <filters>
        <filter val="SenSys"/>
      </filters>
    </filterColumn>
  </autoFilter>
  <hyperlinks>
    <hyperlink ref="K4" r:id="rId1" display="https://doi.org/10.1145/3625078.3625084" xr:uid="{FE5EFDC1-D277-4B0F-88EE-C5C0DD809E02}"/>
    <hyperlink ref="K5" r:id="rId2" display="https://doi.org/10.1145/3625078.3625085" xr:uid="{DF00A478-8B37-42E8-99FB-DD27A3B0148E}"/>
    <hyperlink ref="K6" r:id="rId3" display="https://doi.org/10.1145/3625078.3625087" xr:uid="{5E84F59B-D86A-47AA-A5F5-CBF215191EDC}"/>
    <hyperlink ref="K7" r:id="rId4" display="https://doi.org/10.1145/3625078.3625088" xr:uid="{BFC1A9A7-BDBF-4E16-BC1A-1A4A9084BFAE}"/>
    <hyperlink ref="K8" r:id="rId5" display="https://doi.org/10.1109/IOTSMS59855.2023.10325763" xr:uid="{42D14247-923E-4827-ACC1-FDCFD6CB4B34}"/>
    <hyperlink ref="K9" r:id="rId6" display="https://doi.org/10.1109/IOTSMS59855.2023.10325714" xr:uid="{DB159523-E868-4487-8E46-4F70BC0F6AF6}"/>
    <hyperlink ref="K10" r:id="rId7" display="https://doi.org/10.1109/IOTSMS59855.2023.10325689" xr:uid="{32AFB8F7-1701-4B91-8A68-45B67E94493B}"/>
    <hyperlink ref="K11" r:id="rId8" display="https://doi.org/10.1109/IOTSMS59855.2023.10325760" xr:uid="{5A346707-7FE7-431E-BD7F-8EA9846FA510}"/>
    <hyperlink ref="K12" r:id="rId9" display="https://doi.org/10.1109/IOTSMS59855.2023.10325803" xr:uid="{A75CCD82-BC2A-4A9A-9D41-92EE4C156018}"/>
    <hyperlink ref="K13" r:id="rId10" display="https://doi.org/10.1109/IOTSMS59855.2023.10325824" xr:uid="{B7B4358E-3648-466B-B7F1-4A170BE103C1}"/>
    <hyperlink ref="K20" r:id="rId11" display="https://doi.org/10.5220/0011822700003482" xr:uid="{AB87E318-DC57-4B33-876C-12BEAD5D5D04}"/>
    <hyperlink ref="K42" r:id="rId12" display="https://doi.org/10.1109/WF-IoT58464.2023.10539505" xr:uid="{2B791F04-B687-4B08-BEC4-1BD6BC728F52}"/>
    <hyperlink ref="K43" r:id="rId13" display="https://doi.org/10.1109/WF-IoT58464.2023.10539587" xr:uid="{338B9577-984D-4EFD-B5C7-D060EBB3003C}"/>
    <hyperlink ref="K44" r:id="rId14" display="https://doi.org/10.1109/WF-IoT58464.2023.10539550" xr:uid="{22101BA7-3ACA-42DA-9ADA-E25936C1AD4A}"/>
    <hyperlink ref="K45" r:id="rId15" display="https://doi.org/10.1109/WF-IoT58464.2023.10539484" xr:uid="{76A840AF-2181-490F-A52F-CC7DCE7D8629}"/>
    <hyperlink ref="K46" r:id="rId16" display="https://doi.org/10.1109/WF-IoT58464.2023.10539597" xr:uid="{9D7337C3-31AF-4509-B285-D7B40BF63227}"/>
    <hyperlink ref="K47" r:id="rId17" display="https://doi.org/10.1109/WF-IoT58464.2023.10539546" xr:uid="{97529C52-1E42-44DD-8D7E-61FF3FE52C16}"/>
    <hyperlink ref="K48" r:id="rId18" display="https://doi.org/10.1109/DCOSS-IoT58021.2023.00067" xr:uid="{0BC0C42E-BB98-4177-88C6-E522C777E110}"/>
    <hyperlink ref="K49" r:id="rId19" display="https://doi.org/10.1109/DCOSS-IoT58021.2023.00042" xr:uid="{B767A7E8-3F1E-4643-866E-65D4CD309846}"/>
    <hyperlink ref="K50" r:id="rId20" display="https://doi.org/10.1109/DCOSS-IoT58021.2023.00110" xr:uid="{3A87B3E8-A280-4AC3-8F6C-AE1AABE96B4F}"/>
    <hyperlink ref="K51" r:id="rId21" display="https://doi.org/10.1109/DCOSS-IoT58021.2023.00039" xr:uid="{E3D896A2-3FB5-40C7-98B7-2585F373DCE0}"/>
    <hyperlink ref="K52" r:id="rId22" display="https://doi.org/10.1109/DCOSS-IoT58021.2023.00094" xr:uid="{49520E5E-7B50-42E1-8CB9-3B8DD9E62834}"/>
    <hyperlink ref="K53" r:id="rId23" display="https://doi.org/10.1109/DCOSS-IoT58021.2023.00074" xr:uid="{7871FCE1-47CE-495D-ACDF-2A4181950F33}"/>
    <hyperlink ref="K96" r:id="rId24" display="https://dl.acm.org/doi/10.1145/3666025.3699326" xr:uid="{84537110-55C3-4804-8DE8-BD9A7C041FFC}"/>
    <hyperlink ref="K97" r:id="rId25" display="https://dl.acm.org/doi/10.1145/3666025.3699327" xr:uid="{1FAFC2EC-DA3D-4124-A340-DB30B28CE260}"/>
    <hyperlink ref="K98" r:id="rId26" display="https://dl.acm.org/doi/10.1145/3666025.3699328" xr:uid="{818F0DEC-0D77-4CD8-AE1E-D37B2D59855B}"/>
    <hyperlink ref="K99" r:id="rId27" display="https://dl.acm.org/doi/10.1145/3666025.3699329" xr:uid="{298001F3-5E9D-4211-8D51-C404A12A4A28}"/>
    <hyperlink ref="K100" r:id="rId28" display="https://dl.acm.org/doi/10.1145/3666025.3699330" xr:uid="{FD7BAA83-F832-4481-984C-36E426434C64}"/>
    <hyperlink ref="K101" r:id="rId29" display="https://dl.acm.org/doi/10.1145/3666025.3699331" xr:uid="{1C93F2FA-C4EA-4FFF-BEC7-AEAD4429FB3B}"/>
    <hyperlink ref="K102" r:id="rId30" display="https://dl.acm.org/doi/10.1145/3666025.3699332" xr:uid="{51503BC1-611F-4E23-B9C1-0278CB0A80AA}"/>
    <hyperlink ref="K103" r:id="rId31" display="https://dl.acm.org/doi/10.1145/3666025.3699333" xr:uid="{CC767C12-C976-4FE6-A56F-4E56AFAD3B73}"/>
    <hyperlink ref="K104" r:id="rId32" display="https://dl.acm.org/doi/10.1145/3666025.3699334" xr:uid="{A68B0DC3-18F0-4332-8D8C-88C14C13D7CF}"/>
    <hyperlink ref="K105" r:id="rId33" display="https://dl.acm.org/doi/10.1145/3666025.3699335" xr:uid="{85AB03E1-9BA8-4896-AF22-1F87F939EF52}"/>
    <hyperlink ref="K125" r:id="rId34" display="https://doi.org/10.1109/WF-IoT62078.2024.10811380" xr:uid="{E94CBEAC-6079-45CA-998A-75EAFC6BC557}"/>
    <hyperlink ref="K188" r:id="rId35" display="https://doi.org/10.1007/978-3-031-77003-6_1" xr:uid="{86207FE9-919E-4DAB-A985-9EA3AA93CFDE}"/>
  </hyperlinks>
  <pageMargins left="0.7" right="0.7" top="0.75" bottom="0.75" header="0.3" footer="0.3"/>
  <pageSetup paperSize="9" orientation="portrait" horizontalDpi="4294967293" verticalDpi="0" r:id="rId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576F-0980-445B-B693-302067100F6F}">
  <dimension ref="A1:K60"/>
  <sheetViews>
    <sheetView tabSelected="1" topLeftCell="A38" workbookViewId="0">
      <selection activeCell="D44" sqref="D44:H44"/>
    </sheetView>
  </sheetViews>
  <sheetFormatPr defaultRowHeight="14.5" x14ac:dyDescent="0.35"/>
  <cols>
    <col min="2" max="2" width="25.81640625" customWidth="1"/>
    <col min="4" max="4" width="16.1796875" customWidth="1"/>
    <col min="5" max="5" width="19.1796875" customWidth="1"/>
    <col min="6" max="6" width="19.453125" customWidth="1"/>
    <col min="7" max="7" width="17" customWidth="1"/>
    <col min="8" max="9" width="15.453125" customWidth="1"/>
    <col min="10" max="10" width="17.26953125" customWidth="1"/>
    <col min="11" max="11" width="75.7265625" customWidth="1"/>
  </cols>
  <sheetData>
    <row r="1" spans="1:11" ht="74" x14ac:dyDescent="0.35">
      <c r="A1" s="9" t="s">
        <v>452</v>
      </c>
      <c r="B1" s="9" t="s">
        <v>454</v>
      </c>
      <c r="C1" s="9" t="s">
        <v>453</v>
      </c>
      <c r="D1" s="9" t="s">
        <v>455</v>
      </c>
      <c r="E1" s="9" t="s">
        <v>7</v>
      </c>
      <c r="F1" s="9" t="s">
        <v>6</v>
      </c>
      <c r="G1" s="9" t="s">
        <v>4</v>
      </c>
      <c r="H1" s="9" t="s">
        <v>8</v>
      </c>
      <c r="I1" s="9" t="s">
        <v>9</v>
      </c>
      <c r="J1" s="9" t="s">
        <v>538</v>
      </c>
      <c r="K1" s="9" t="s">
        <v>469</v>
      </c>
    </row>
    <row r="2" spans="1:11" x14ac:dyDescent="0.35">
      <c r="A2" s="1">
        <v>1</v>
      </c>
      <c r="B2" s="1" t="s">
        <v>12</v>
      </c>
      <c r="C2" s="1">
        <v>2023</v>
      </c>
      <c r="D2" s="1">
        <f>COUNTA(total_consolidated_data!A2:A7)</f>
        <v>6</v>
      </c>
      <c r="E2" s="1">
        <f>SUM(total_consolidated_data!H2:H7)</f>
        <v>12</v>
      </c>
      <c r="F2" s="1">
        <f>SUM(total_consolidated_data!G2:G7)</f>
        <v>123</v>
      </c>
      <c r="G2" s="1">
        <f>SUM(total_consolidated_data!E2:E7)</f>
        <v>18</v>
      </c>
      <c r="H2" s="1">
        <f>SUM(total_consolidated_data!I2:I7)</f>
        <v>12</v>
      </c>
      <c r="I2" s="1">
        <f>SUM(total_consolidated_data!J2:J7)</f>
        <v>20</v>
      </c>
      <c r="J2" s="1">
        <f>COUNTA(_xlfn.UNIQUE(total_consolidated_data!F2:F7))</f>
        <v>5</v>
      </c>
      <c r="K2" s="7" t="s">
        <v>457</v>
      </c>
    </row>
    <row r="3" spans="1:11" x14ac:dyDescent="0.35">
      <c r="A3" s="1">
        <f>A2+1</f>
        <v>2</v>
      </c>
      <c r="B3" s="1" t="s">
        <v>12</v>
      </c>
      <c r="C3" s="1">
        <v>2024</v>
      </c>
      <c r="D3" s="1">
        <f>COUNTA(total_consolidated_data!A180:A187)</f>
        <v>8</v>
      </c>
      <c r="E3" s="1">
        <f>SUM(total_consolidated_data!H180:H187)</f>
        <v>36</v>
      </c>
      <c r="F3" s="1">
        <f>SUM(total_consolidated_data!G180:G187)</f>
        <v>229</v>
      </c>
      <c r="G3" s="1">
        <f>SUM(total_consolidated_data!E180:E187)</f>
        <v>37</v>
      </c>
      <c r="H3" s="1">
        <f>SUM(total_consolidated_data!I180:I187)</f>
        <v>18</v>
      </c>
      <c r="I3" s="1">
        <f>SUM(total_consolidated_data!J180:J187)</f>
        <v>56</v>
      </c>
      <c r="J3" s="1">
        <f>COUNTA(_xlfn.UNIQUE(total_consolidated_data!F180:F187))</f>
        <v>6</v>
      </c>
      <c r="K3" s="7" t="s">
        <v>458</v>
      </c>
    </row>
    <row r="4" spans="1:11" x14ac:dyDescent="0.35">
      <c r="A4" s="1">
        <f t="shared" ref="A4:A17" si="0">A3+1</f>
        <v>3</v>
      </c>
      <c r="B4" s="1" t="s">
        <v>352</v>
      </c>
      <c r="C4" s="1">
        <v>2023</v>
      </c>
      <c r="D4" s="1">
        <f>COUNTA(total_consolidated_data!A48:A53)</f>
        <v>6</v>
      </c>
      <c r="E4" s="1">
        <f>SUM(total_consolidated_data!H48:H53)</f>
        <v>73</v>
      </c>
      <c r="F4" s="1">
        <f>SUM(total_consolidated_data!G48:G53)</f>
        <v>143</v>
      </c>
      <c r="G4" s="1">
        <f>SUM(total_consolidated_data!E48:E53)</f>
        <v>39</v>
      </c>
      <c r="H4" s="1">
        <f>SUM(total_consolidated_data!I48:I53)</f>
        <v>7</v>
      </c>
      <c r="I4" s="1">
        <f>SUM(total_consolidated_data!J48:J53)</f>
        <v>44</v>
      </c>
      <c r="J4" s="1">
        <f>COUNTA(_xlfn.UNIQUE(total_consolidated_data!F48:F53))</f>
        <v>5</v>
      </c>
      <c r="K4" s="7" t="s">
        <v>456</v>
      </c>
    </row>
    <row r="5" spans="1:11" x14ac:dyDescent="0.35">
      <c r="A5" s="1">
        <f t="shared" si="0"/>
        <v>4</v>
      </c>
      <c r="B5" s="1" t="s">
        <v>352</v>
      </c>
      <c r="C5" s="1">
        <v>2024</v>
      </c>
      <c r="D5" s="1">
        <f>COUNTA(total_consolidated_data!A152:A179)</f>
        <v>28</v>
      </c>
      <c r="E5" s="1">
        <f>SUM(total_consolidated_data!H152:H179)</f>
        <v>174</v>
      </c>
      <c r="F5" s="1">
        <f>SUM(total_consolidated_data!G152:G179)</f>
        <v>780</v>
      </c>
      <c r="G5" s="1">
        <f>SUM(total_consolidated_data!E152:E179)</f>
        <v>95</v>
      </c>
      <c r="H5" s="1">
        <f>SUM(total_consolidated_data!I152:I179)</f>
        <v>79</v>
      </c>
      <c r="I5" s="1">
        <f>SUM(total_consolidated_data!J152:J179)</f>
        <v>166</v>
      </c>
      <c r="J5" s="1">
        <f>COUNTA(_xlfn.UNIQUE(total_consolidated_data!F152:F179))</f>
        <v>13</v>
      </c>
      <c r="K5" s="7" t="s">
        <v>459</v>
      </c>
    </row>
    <row r="6" spans="1:11" x14ac:dyDescent="0.35">
      <c r="A6" s="1">
        <f t="shared" si="0"/>
        <v>5</v>
      </c>
      <c r="B6" s="1" t="s">
        <v>47</v>
      </c>
      <c r="C6" s="1">
        <v>2023</v>
      </c>
      <c r="D6" s="1">
        <f>COUNTA(total_consolidated_data!A14:A19)</f>
        <v>6</v>
      </c>
      <c r="E6" s="1">
        <f>SUM(total_consolidated_data!H14:H19)</f>
        <v>4</v>
      </c>
      <c r="F6" s="1">
        <f>SUM(total_consolidated_data!G14:G19)</f>
        <v>241</v>
      </c>
      <c r="G6" s="1">
        <f>SUM(total_consolidated_data!E14:E19)</f>
        <v>19</v>
      </c>
      <c r="H6" s="1">
        <f>SUM(total_consolidated_data!I14:I19)</f>
        <v>11</v>
      </c>
      <c r="I6" s="1">
        <f>SUM(total_consolidated_data!J14:J19)</f>
        <v>18</v>
      </c>
      <c r="J6" s="1">
        <f>COUNTA(_xlfn.UNIQUE(total_consolidated_data!F14:F19))</f>
        <v>5</v>
      </c>
      <c r="K6" s="8" t="s">
        <v>466</v>
      </c>
    </row>
    <row r="7" spans="1:11" x14ac:dyDescent="0.35">
      <c r="A7" s="1">
        <f t="shared" si="0"/>
        <v>6</v>
      </c>
      <c r="B7" s="1" t="s">
        <v>470</v>
      </c>
      <c r="C7" s="1">
        <v>2023</v>
      </c>
      <c r="D7" s="1">
        <f>COUNTA(total_consolidated_data!A197:A233)</f>
        <v>37</v>
      </c>
      <c r="E7" s="1">
        <f>SUM(total_consolidated_data!H197:H233)</f>
        <v>2</v>
      </c>
      <c r="F7" s="1">
        <f>SUM(total_consolidated_data!G197:G233)</f>
        <v>1010</v>
      </c>
      <c r="G7" s="1">
        <f>SUM(total_consolidated_data!E197:E233)</f>
        <v>137</v>
      </c>
      <c r="H7" s="1">
        <f>SUM(total_consolidated_data!I197:I233)</f>
        <v>63</v>
      </c>
      <c r="I7" s="1">
        <f>SUM(total_consolidated_data!J197:J233)</f>
        <v>269</v>
      </c>
      <c r="J7" s="1">
        <f>COUNTA(_xlfn.UNIQUE(total_consolidated_data!F197:F233))</f>
        <v>18</v>
      </c>
      <c r="K7" s="8" t="s">
        <v>535</v>
      </c>
    </row>
    <row r="8" spans="1:11" x14ac:dyDescent="0.35">
      <c r="A8" s="1">
        <f t="shared" si="0"/>
        <v>7</v>
      </c>
      <c r="B8" s="1" t="s">
        <v>470</v>
      </c>
      <c r="C8" s="1">
        <v>2024</v>
      </c>
      <c r="D8" s="1">
        <f>COUNTA(total_consolidated_data!A234:A253)</f>
        <v>20</v>
      </c>
      <c r="E8" s="1">
        <f>SUM(total_consolidated_data!H234:H253)</f>
        <v>4</v>
      </c>
      <c r="F8" s="1">
        <f>SUM(total_consolidated_data!G234:G253)</f>
        <v>759</v>
      </c>
      <c r="G8" s="1">
        <f>SUM(total_consolidated_data!E234:E253)</f>
        <v>88</v>
      </c>
      <c r="H8" s="1">
        <f>SUM(total_consolidated_data!I234:I253)</f>
        <v>61</v>
      </c>
      <c r="I8" s="1">
        <f>SUM(total_consolidated_data!J234:J253)</f>
        <v>221</v>
      </c>
      <c r="J8" s="1">
        <f>COUNTA(_xlfn.UNIQUE(total_consolidated_data!F234:F253))</f>
        <v>10</v>
      </c>
      <c r="K8" s="8" t="s">
        <v>536</v>
      </c>
    </row>
    <row r="9" spans="1:11" x14ac:dyDescent="0.35">
      <c r="A9" s="1">
        <f t="shared" si="0"/>
        <v>8</v>
      </c>
      <c r="B9" s="1" t="s">
        <v>95</v>
      </c>
      <c r="C9" s="1">
        <v>2023</v>
      </c>
      <c r="D9" s="1">
        <f>COUNTA(total_consolidated_data!A36:A41)</f>
        <v>6</v>
      </c>
      <c r="E9" s="1">
        <f>SUM(total_consolidated_data!H36:H41)</f>
        <v>4</v>
      </c>
      <c r="F9" s="1">
        <f>SUM(total_consolidated_data!G36:G41)</f>
        <v>164</v>
      </c>
      <c r="G9" s="1">
        <f>SUM(total_consolidated_data!E36:E41)</f>
        <v>27</v>
      </c>
      <c r="H9" s="1">
        <f>SUM(total_consolidated_data!I36:I41)</f>
        <v>6</v>
      </c>
      <c r="I9" s="1">
        <f>SUM(total_consolidated_data!J36:J41)</f>
        <v>33</v>
      </c>
      <c r="J9" s="1">
        <f>COUNTA(_xlfn.UNIQUE(total_consolidated_data!F36:F41))</f>
        <v>2</v>
      </c>
      <c r="K9" s="8" t="s">
        <v>467</v>
      </c>
    </row>
    <row r="10" spans="1:11" x14ac:dyDescent="0.35">
      <c r="A10" s="1">
        <f t="shared" si="0"/>
        <v>9</v>
      </c>
      <c r="B10" s="1" t="s">
        <v>95</v>
      </c>
      <c r="C10" s="1">
        <v>2024</v>
      </c>
      <c r="D10" s="1">
        <f>COUNTA(total_consolidated_data!A188:A196)</f>
        <v>9</v>
      </c>
      <c r="E10" s="1">
        <f>SUM(total_consolidated_data!H188:H196)</f>
        <v>4</v>
      </c>
      <c r="F10" s="1">
        <f>SUM(total_consolidated_data!G188:G196)</f>
        <v>219</v>
      </c>
      <c r="G10" s="1">
        <f>SUM(total_consolidated_data!E188:E196)</f>
        <v>47</v>
      </c>
      <c r="H10" s="1">
        <f>SUM(total_consolidated_data!I188:I196)</f>
        <v>22</v>
      </c>
      <c r="I10" s="1">
        <f>SUM(total_consolidated_data!J188:J196)</f>
        <v>49</v>
      </c>
      <c r="J10" s="1">
        <f>COUNTA(_xlfn.UNIQUE(total_consolidated_data!F188:F196))</f>
        <v>5</v>
      </c>
      <c r="K10" s="8" t="s">
        <v>468</v>
      </c>
    </row>
    <row r="11" spans="1:11" x14ac:dyDescent="0.35">
      <c r="A11" s="1">
        <f t="shared" si="0"/>
        <v>10</v>
      </c>
      <c r="B11" s="1" t="s">
        <v>82</v>
      </c>
      <c r="C11" s="1">
        <v>2023</v>
      </c>
      <c r="D11" s="1">
        <f>COUNTA(total_consolidated_data!A26:A35)</f>
        <v>10</v>
      </c>
      <c r="E11" s="1">
        <f>SUM(total_consolidated_data!H26:H35)</f>
        <v>37</v>
      </c>
      <c r="F11" s="1">
        <f>SUM(total_consolidated_data!G26:G35)</f>
        <v>277</v>
      </c>
      <c r="G11" s="1">
        <f>SUM(total_consolidated_data!E26:E35)</f>
        <v>32</v>
      </c>
      <c r="H11" s="1">
        <f>SUM(total_consolidated_data!I26:I35)</f>
        <v>16</v>
      </c>
      <c r="I11" s="1">
        <f>SUM(total_consolidated_data!J26:J35)</f>
        <v>53</v>
      </c>
      <c r="J11" s="1">
        <f>COUNTA(_xlfn.UNIQUE(total_consolidated_data!F26:F35))</f>
        <v>3</v>
      </c>
      <c r="K11" s="7" t="s">
        <v>534</v>
      </c>
    </row>
    <row r="12" spans="1:11" x14ac:dyDescent="0.35">
      <c r="A12" s="1">
        <f t="shared" si="0"/>
        <v>11</v>
      </c>
      <c r="B12" s="1" t="s">
        <v>64</v>
      </c>
      <c r="C12" s="1">
        <v>2023</v>
      </c>
      <c r="D12" s="1">
        <f>COUNTA(total_consolidated_data!A20:A25)</f>
        <v>6</v>
      </c>
      <c r="E12" s="1">
        <f>SUM(total_consolidated_data!H20:H25)</f>
        <v>11</v>
      </c>
      <c r="F12" s="1">
        <f>SUM(total_consolidated_data!G20:G25)</f>
        <v>201</v>
      </c>
      <c r="G12" s="1">
        <f>SUM(total_consolidated_data!E20:E25)</f>
        <v>27</v>
      </c>
      <c r="H12" s="1">
        <f>SUM(total_consolidated_data!I20:I25)</f>
        <v>21</v>
      </c>
      <c r="I12" s="1">
        <f>SUM(total_consolidated_data!J20:J25)</f>
        <v>42</v>
      </c>
      <c r="J12" s="1">
        <f>COUNTA(_xlfn.UNIQUE(total_consolidated_data!F20:F25))</f>
        <v>4</v>
      </c>
      <c r="K12" s="7" t="s">
        <v>460</v>
      </c>
    </row>
    <row r="13" spans="1:11" x14ac:dyDescent="0.35">
      <c r="A13" s="1">
        <f t="shared" si="0"/>
        <v>12</v>
      </c>
      <c r="B13" s="1" t="s">
        <v>31</v>
      </c>
      <c r="C13" s="1">
        <v>2023</v>
      </c>
      <c r="D13" s="1">
        <f>COUNTA(total_consolidated_data!A8:A13)</f>
        <v>6</v>
      </c>
      <c r="E13" s="1">
        <f>SUM(total_consolidated_data!H8:H13)</f>
        <v>5</v>
      </c>
      <c r="F13" s="1">
        <f>SUM(total_consolidated_data!G8:G13)</f>
        <v>202</v>
      </c>
      <c r="G13" s="1">
        <f>SUM(total_consolidated_data!E8:E13)</f>
        <v>17</v>
      </c>
      <c r="H13" s="1">
        <f>SUM(total_consolidated_data!I8:I13)</f>
        <v>7</v>
      </c>
      <c r="I13" s="1">
        <f>SUM(total_consolidated_data!J8:J13)</f>
        <v>33</v>
      </c>
      <c r="J13" s="1">
        <f>COUNTA(_xlfn.UNIQUE(total_consolidated_data!F8:F13))</f>
        <v>5</v>
      </c>
      <c r="K13" s="7" t="s">
        <v>461</v>
      </c>
    </row>
    <row r="14" spans="1:11" x14ac:dyDescent="0.35">
      <c r="A14" s="1">
        <f t="shared" si="0"/>
        <v>13</v>
      </c>
      <c r="B14" s="1" t="s">
        <v>148</v>
      </c>
      <c r="C14" s="1">
        <v>2023</v>
      </c>
      <c r="D14" s="1">
        <f>COUNTA(total_consolidated_data!A54:A80)</f>
        <v>27</v>
      </c>
      <c r="E14" s="1">
        <f>SUM(total_consolidated_data!H54:H80)</f>
        <v>448</v>
      </c>
      <c r="F14" s="1">
        <f>SUM(total_consolidated_data!G54:G80)</f>
        <v>2020</v>
      </c>
      <c r="G14" s="1">
        <f>SUM(total_consolidated_data!E54:E80)</f>
        <v>139</v>
      </c>
      <c r="H14" s="1">
        <f>SUM(total_consolidated_data!I54:I80)</f>
        <v>85</v>
      </c>
      <c r="I14" s="1">
        <f>SUM(total_consolidated_data!J54:J80)</f>
        <v>450</v>
      </c>
      <c r="J14" s="1">
        <f>COUNTA(_xlfn.UNIQUE(total_consolidated_data!F54:F80))</f>
        <v>6</v>
      </c>
      <c r="K14" s="7" t="s">
        <v>465</v>
      </c>
    </row>
    <row r="15" spans="1:11" x14ac:dyDescent="0.35">
      <c r="A15" s="1">
        <f t="shared" si="0"/>
        <v>14</v>
      </c>
      <c r="B15" s="1" t="s">
        <v>148</v>
      </c>
      <c r="C15" s="1">
        <v>2024</v>
      </c>
      <c r="D15" s="1">
        <f>COUNTA(total_consolidated_data!A81:A114)</f>
        <v>34</v>
      </c>
      <c r="E15" s="1">
        <f>SUM(total_consolidated_data!H81:H114)</f>
        <v>401</v>
      </c>
      <c r="F15" s="1">
        <f>SUM(total_consolidated_data!G81:G114)</f>
        <v>2588</v>
      </c>
      <c r="G15" s="1">
        <f>SUM(total_consolidated_data!E81:E114)</f>
        <v>201</v>
      </c>
      <c r="H15" s="1">
        <f>SUM(total_consolidated_data!I81:I114)</f>
        <v>108</v>
      </c>
      <c r="I15" s="1">
        <f>SUM(total_consolidated_data!J81:J114)</f>
        <v>608</v>
      </c>
      <c r="J15" s="1">
        <f>COUNTA(_xlfn.UNIQUE(total_consolidated_data!F81:F114))</f>
        <v>8</v>
      </c>
      <c r="K15" s="7" t="s">
        <v>462</v>
      </c>
    </row>
    <row r="16" spans="1:11" x14ac:dyDescent="0.35">
      <c r="A16" s="1">
        <f t="shared" si="0"/>
        <v>15</v>
      </c>
      <c r="B16" s="1" t="s">
        <v>117</v>
      </c>
      <c r="C16" s="1">
        <v>2023</v>
      </c>
      <c r="D16" s="1">
        <f>COUNTA(total_consolidated_data!A42:A47)</f>
        <v>6</v>
      </c>
      <c r="E16" s="1">
        <f>SUM(total_consolidated_data!H42:H47)</f>
        <v>12</v>
      </c>
      <c r="F16" s="1">
        <f>SUM(total_consolidated_data!G42:G47)</f>
        <v>154</v>
      </c>
      <c r="G16" s="1">
        <f>SUM(total_consolidated_data!E42:E47)</f>
        <v>32</v>
      </c>
      <c r="H16" s="1">
        <f>SUM(total_consolidated_data!I42:I47)</f>
        <v>7</v>
      </c>
      <c r="I16" s="1">
        <f>SUM(total_consolidated_data!J42:J47)</f>
        <v>64</v>
      </c>
      <c r="J16" s="1">
        <f>COUNTA(_xlfn.UNIQUE(total_consolidated_data!F42:F47))</f>
        <v>5</v>
      </c>
      <c r="K16" s="7" t="s">
        <v>463</v>
      </c>
    </row>
    <row r="17" spans="1:11" x14ac:dyDescent="0.35">
      <c r="A17" s="1">
        <f t="shared" si="0"/>
        <v>16</v>
      </c>
      <c r="B17" s="1" t="s">
        <v>117</v>
      </c>
      <c r="C17" s="1">
        <v>2024</v>
      </c>
      <c r="D17" s="1">
        <f>COUNTA(total_consolidated_data!A115:A151)</f>
        <v>37</v>
      </c>
      <c r="E17" s="1">
        <f>SUM(total_consolidated_data!H115:H151)</f>
        <v>115</v>
      </c>
      <c r="F17" s="1">
        <f>SUM(total_consolidated_data!G115:G151)</f>
        <v>705</v>
      </c>
      <c r="G17" s="1">
        <f>SUM(total_consolidated_data!E115:E151)</f>
        <v>158</v>
      </c>
      <c r="H17" s="1">
        <f>SUM(total_consolidated_data!I115:I151)</f>
        <v>54</v>
      </c>
      <c r="I17" s="1">
        <f>SUM(total_consolidated_data!J115:J151)</f>
        <v>160</v>
      </c>
      <c r="J17" s="1">
        <f>COUNTA(_xlfn.UNIQUE(total_consolidated_data!F115:F151))</f>
        <v>13</v>
      </c>
      <c r="K17" s="7" t="s">
        <v>464</v>
      </c>
    </row>
    <row r="18" spans="1:11" x14ac:dyDescent="0.35">
      <c r="A18" s="18" t="s">
        <v>537</v>
      </c>
      <c r="B18" s="18"/>
      <c r="C18" s="18"/>
      <c r="D18" s="10">
        <f t="shared" ref="D18:I18" si="1">SUM(D2:D17)</f>
        <v>252</v>
      </c>
      <c r="E18" s="1">
        <f t="shared" si="1"/>
        <v>1342</v>
      </c>
      <c r="F18" s="10">
        <f t="shared" si="1"/>
        <v>9815</v>
      </c>
      <c r="G18" s="10">
        <f t="shared" si="1"/>
        <v>1113</v>
      </c>
      <c r="H18" s="10">
        <f t="shared" si="1"/>
        <v>577</v>
      </c>
      <c r="I18" s="10">
        <f t="shared" si="1"/>
        <v>2286</v>
      </c>
      <c r="J18" s="1">
        <f>COUNTA(_xlfn.UNIQUE(total_consolidated_data!F2:F253))</f>
        <v>41</v>
      </c>
      <c r="K18" s="6"/>
    </row>
    <row r="21" spans="1:11" ht="55.5" x14ac:dyDescent="0.35">
      <c r="A21" s="9" t="s">
        <v>452</v>
      </c>
      <c r="B21" s="9" t="s">
        <v>454</v>
      </c>
      <c r="C21" s="9" t="s">
        <v>453</v>
      </c>
      <c r="D21" s="9" t="s">
        <v>544</v>
      </c>
      <c r="E21" s="9" t="s">
        <v>545</v>
      </c>
      <c r="F21" s="9" t="s">
        <v>546</v>
      </c>
      <c r="G21" s="9" t="s">
        <v>548</v>
      </c>
      <c r="H21" s="9" t="s">
        <v>547</v>
      </c>
    </row>
    <row r="22" spans="1:11" x14ac:dyDescent="0.35">
      <c r="A22" s="1">
        <v>1</v>
      </c>
      <c r="B22" s="1" t="s">
        <v>12</v>
      </c>
      <c r="C22" s="1">
        <v>2023</v>
      </c>
      <c r="D22" s="16">
        <f>E2/D2</f>
        <v>2</v>
      </c>
      <c r="E22" s="15">
        <f t="shared" ref="E22:E37" si="2">F2/D2</f>
        <v>20.5</v>
      </c>
      <c r="F22" s="16">
        <f t="shared" ref="F22:F37" si="3">G2/D2</f>
        <v>3</v>
      </c>
      <c r="G22" s="1">
        <f t="shared" ref="G22:G37" si="4">H2+I2</f>
        <v>32</v>
      </c>
      <c r="H22" s="12">
        <f t="shared" ref="H22:H37" si="5">G22/D2</f>
        <v>5.333333333333333</v>
      </c>
      <c r="J22" s="17"/>
    </row>
    <row r="23" spans="1:11" x14ac:dyDescent="0.35">
      <c r="A23" s="1">
        <f>A22+1</f>
        <v>2</v>
      </c>
      <c r="B23" s="1" t="s">
        <v>12</v>
      </c>
      <c r="C23" s="1">
        <v>2024</v>
      </c>
      <c r="D23" s="15">
        <f t="shared" ref="D23:D37" si="6">E3/D3</f>
        <v>4.5</v>
      </c>
      <c r="E23" s="12">
        <f t="shared" si="2"/>
        <v>28.625</v>
      </c>
      <c r="F23" s="13">
        <f t="shared" si="3"/>
        <v>4.625</v>
      </c>
      <c r="G23" s="1">
        <f t="shared" si="4"/>
        <v>74</v>
      </c>
      <c r="H23" s="14">
        <f t="shared" si="5"/>
        <v>9.25</v>
      </c>
    </row>
    <row r="24" spans="1:11" x14ac:dyDescent="0.35">
      <c r="A24" s="1">
        <f t="shared" ref="A24:A37" si="7">A23+1</f>
        <v>3</v>
      </c>
      <c r="B24" s="1" t="s">
        <v>352</v>
      </c>
      <c r="C24" s="1">
        <v>2023</v>
      </c>
      <c r="D24" s="12">
        <f t="shared" si="6"/>
        <v>12.166666666666666</v>
      </c>
      <c r="E24" s="12">
        <f t="shared" si="2"/>
        <v>23.833333333333332</v>
      </c>
      <c r="F24" s="15">
        <f t="shared" si="3"/>
        <v>6.5</v>
      </c>
      <c r="G24" s="1">
        <f t="shared" si="4"/>
        <v>51</v>
      </c>
      <c r="H24" s="15">
        <f t="shared" si="5"/>
        <v>8.5</v>
      </c>
    </row>
    <row r="25" spans="1:11" x14ac:dyDescent="0.35">
      <c r="A25" s="1">
        <f t="shared" si="7"/>
        <v>4</v>
      </c>
      <c r="B25" s="1" t="s">
        <v>352</v>
      </c>
      <c r="C25" s="1">
        <v>2024</v>
      </c>
      <c r="D25" s="12">
        <f t="shared" si="6"/>
        <v>6.2142857142857144</v>
      </c>
      <c r="E25" s="12">
        <f t="shared" si="2"/>
        <v>27.857142857142858</v>
      </c>
      <c r="F25" s="12">
        <f t="shared" si="3"/>
        <v>3.3928571428571428</v>
      </c>
      <c r="G25" s="1">
        <f t="shared" si="4"/>
        <v>245</v>
      </c>
      <c r="H25" s="14">
        <f t="shared" si="5"/>
        <v>8.75</v>
      </c>
    </row>
    <row r="26" spans="1:11" x14ac:dyDescent="0.35">
      <c r="A26" s="1">
        <f t="shared" si="7"/>
        <v>5</v>
      </c>
      <c r="B26" s="1" t="s">
        <v>47</v>
      </c>
      <c r="C26" s="1">
        <v>2023</v>
      </c>
      <c r="D26" s="12">
        <f t="shared" si="6"/>
        <v>0.66666666666666663</v>
      </c>
      <c r="E26" s="12">
        <f t="shared" si="2"/>
        <v>40.166666666666664</v>
      </c>
      <c r="F26" s="12">
        <f t="shared" si="3"/>
        <v>3.1666666666666665</v>
      </c>
      <c r="G26" s="1">
        <f t="shared" si="4"/>
        <v>29</v>
      </c>
      <c r="H26" s="12">
        <f t="shared" si="5"/>
        <v>4.833333333333333</v>
      </c>
    </row>
    <row r="27" spans="1:11" x14ac:dyDescent="0.35">
      <c r="A27" s="1">
        <f t="shared" si="7"/>
        <v>6</v>
      </c>
      <c r="B27" s="1" t="s">
        <v>470</v>
      </c>
      <c r="C27" s="1">
        <v>2023</v>
      </c>
      <c r="D27" s="12">
        <f t="shared" si="6"/>
        <v>5.4054054054054057E-2</v>
      </c>
      <c r="E27" s="12">
        <f t="shared" si="2"/>
        <v>27.297297297297298</v>
      </c>
      <c r="F27" s="12">
        <f t="shared" si="3"/>
        <v>3.7027027027027026</v>
      </c>
      <c r="G27" s="1">
        <f t="shared" si="4"/>
        <v>332</v>
      </c>
      <c r="H27" s="12">
        <f t="shared" si="5"/>
        <v>8.9729729729729737</v>
      </c>
    </row>
    <row r="28" spans="1:11" x14ac:dyDescent="0.35">
      <c r="A28" s="1">
        <f t="shared" si="7"/>
        <v>7</v>
      </c>
      <c r="B28" s="1" t="s">
        <v>470</v>
      </c>
      <c r="C28" s="1">
        <v>2024</v>
      </c>
      <c r="D28" s="12">
        <f t="shared" si="6"/>
        <v>0.2</v>
      </c>
      <c r="E28" s="12">
        <f t="shared" si="2"/>
        <v>37.950000000000003</v>
      </c>
      <c r="F28" s="15">
        <f t="shared" si="3"/>
        <v>4.4000000000000004</v>
      </c>
      <c r="G28" s="1">
        <f t="shared" si="4"/>
        <v>282</v>
      </c>
      <c r="H28" s="15">
        <f t="shared" si="5"/>
        <v>14.1</v>
      </c>
    </row>
    <row r="29" spans="1:11" x14ac:dyDescent="0.35">
      <c r="A29" s="1">
        <f t="shared" si="7"/>
        <v>8</v>
      </c>
      <c r="B29" s="1" t="s">
        <v>95</v>
      </c>
      <c r="C29" s="1">
        <v>2023</v>
      </c>
      <c r="D29" s="12">
        <f t="shared" si="6"/>
        <v>0.66666666666666663</v>
      </c>
      <c r="E29" s="12">
        <f t="shared" si="2"/>
        <v>27.333333333333332</v>
      </c>
      <c r="F29" s="15">
        <f t="shared" si="3"/>
        <v>4.5</v>
      </c>
      <c r="G29" s="1">
        <f t="shared" si="4"/>
        <v>39</v>
      </c>
      <c r="H29" s="15">
        <f t="shared" si="5"/>
        <v>6.5</v>
      </c>
    </row>
    <row r="30" spans="1:11" x14ac:dyDescent="0.35">
      <c r="A30" s="1">
        <f t="shared" si="7"/>
        <v>9</v>
      </c>
      <c r="B30" s="1" t="s">
        <v>95</v>
      </c>
      <c r="C30" s="1">
        <v>2024</v>
      </c>
      <c r="D30" s="12">
        <f t="shared" si="6"/>
        <v>0.44444444444444442</v>
      </c>
      <c r="E30" s="12">
        <f t="shared" si="2"/>
        <v>24.333333333333332</v>
      </c>
      <c r="F30" s="12">
        <f t="shared" si="3"/>
        <v>5.2222222222222223</v>
      </c>
      <c r="G30" s="1">
        <f t="shared" si="4"/>
        <v>71</v>
      </c>
      <c r="H30" s="12">
        <f t="shared" si="5"/>
        <v>7.8888888888888893</v>
      </c>
    </row>
    <row r="31" spans="1:11" x14ac:dyDescent="0.35">
      <c r="A31" s="1">
        <f t="shared" si="7"/>
        <v>10</v>
      </c>
      <c r="B31" s="1" t="s">
        <v>82</v>
      </c>
      <c r="C31" s="1">
        <v>2023</v>
      </c>
      <c r="D31" s="15">
        <f t="shared" si="6"/>
        <v>3.7</v>
      </c>
      <c r="E31" s="15">
        <f t="shared" si="2"/>
        <v>27.7</v>
      </c>
      <c r="F31" s="15">
        <f t="shared" si="3"/>
        <v>3.2</v>
      </c>
      <c r="G31" s="1">
        <f t="shared" si="4"/>
        <v>69</v>
      </c>
      <c r="H31" s="15">
        <f t="shared" si="5"/>
        <v>6.9</v>
      </c>
    </row>
    <row r="32" spans="1:11" x14ac:dyDescent="0.35">
      <c r="A32" s="1">
        <f t="shared" si="7"/>
        <v>11</v>
      </c>
      <c r="B32" s="1" t="s">
        <v>64</v>
      </c>
      <c r="C32" s="1">
        <v>2023</v>
      </c>
      <c r="D32" s="12">
        <f t="shared" si="6"/>
        <v>1.8333333333333333</v>
      </c>
      <c r="E32" s="15">
        <f t="shared" si="2"/>
        <v>33.5</v>
      </c>
      <c r="F32" s="15">
        <f t="shared" si="3"/>
        <v>4.5</v>
      </c>
      <c r="G32" s="1">
        <f t="shared" si="4"/>
        <v>63</v>
      </c>
      <c r="H32" s="15">
        <f t="shared" si="5"/>
        <v>10.5</v>
      </c>
    </row>
    <row r="33" spans="1:8" x14ac:dyDescent="0.35">
      <c r="A33" s="1">
        <f t="shared" si="7"/>
        <v>12</v>
      </c>
      <c r="B33" s="1" t="s">
        <v>31</v>
      </c>
      <c r="C33" s="1">
        <v>2023</v>
      </c>
      <c r="D33" s="12">
        <f t="shared" si="6"/>
        <v>0.83333333333333337</v>
      </c>
      <c r="E33" s="12">
        <f t="shared" si="2"/>
        <v>33.666666666666664</v>
      </c>
      <c r="F33" s="12">
        <f t="shared" si="3"/>
        <v>2.8333333333333335</v>
      </c>
      <c r="G33" s="1">
        <f t="shared" si="4"/>
        <v>40</v>
      </c>
      <c r="H33" s="12">
        <f t="shared" si="5"/>
        <v>6.666666666666667</v>
      </c>
    </row>
    <row r="34" spans="1:8" x14ac:dyDescent="0.35">
      <c r="A34" s="1">
        <f t="shared" si="7"/>
        <v>13</v>
      </c>
      <c r="B34" s="1" t="s">
        <v>148</v>
      </c>
      <c r="C34" s="1">
        <v>2023</v>
      </c>
      <c r="D34" s="12">
        <f t="shared" si="6"/>
        <v>16.592592592592592</v>
      </c>
      <c r="E34" s="12">
        <f t="shared" si="2"/>
        <v>74.81481481481481</v>
      </c>
      <c r="F34" s="12">
        <f t="shared" si="3"/>
        <v>5.1481481481481479</v>
      </c>
      <c r="G34" s="1">
        <f t="shared" si="4"/>
        <v>535</v>
      </c>
      <c r="H34" s="12">
        <f t="shared" si="5"/>
        <v>19.814814814814813</v>
      </c>
    </row>
    <row r="35" spans="1:8" x14ac:dyDescent="0.35">
      <c r="A35" s="1">
        <f t="shared" si="7"/>
        <v>14</v>
      </c>
      <c r="B35" s="1" t="s">
        <v>148</v>
      </c>
      <c r="C35" s="1">
        <v>2024</v>
      </c>
      <c r="D35" s="12">
        <f t="shared" si="6"/>
        <v>11.794117647058824</v>
      </c>
      <c r="E35" s="12">
        <f t="shared" si="2"/>
        <v>76.117647058823536</v>
      </c>
      <c r="F35" s="12">
        <f t="shared" si="3"/>
        <v>5.9117647058823533</v>
      </c>
      <c r="G35" s="1">
        <f t="shared" si="4"/>
        <v>716</v>
      </c>
      <c r="H35" s="12">
        <f t="shared" si="5"/>
        <v>21.058823529411764</v>
      </c>
    </row>
    <row r="36" spans="1:8" x14ac:dyDescent="0.35">
      <c r="A36" s="1">
        <f t="shared" si="7"/>
        <v>15</v>
      </c>
      <c r="B36" s="1" t="s">
        <v>117</v>
      </c>
      <c r="C36" s="1">
        <v>2023</v>
      </c>
      <c r="D36" s="16">
        <f t="shared" si="6"/>
        <v>2</v>
      </c>
      <c r="E36" s="12">
        <f t="shared" si="2"/>
        <v>25.666666666666668</v>
      </c>
      <c r="F36" s="12">
        <f t="shared" si="3"/>
        <v>5.333333333333333</v>
      </c>
      <c r="G36" s="1">
        <f t="shared" si="4"/>
        <v>71</v>
      </c>
      <c r="H36" s="12">
        <f t="shared" si="5"/>
        <v>11.833333333333334</v>
      </c>
    </row>
    <row r="37" spans="1:8" x14ac:dyDescent="0.35">
      <c r="A37" s="1">
        <f t="shared" si="7"/>
        <v>16</v>
      </c>
      <c r="B37" s="1" t="s">
        <v>117</v>
      </c>
      <c r="C37" s="1">
        <v>2024</v>
      </c>
      <c r="D37" s="12">
        <f t="shared" si="6"/>
        <v>3.1081081081081079</v>
      </c>
      <c r="E37" s="12">
        <f t="shared" si="2"/>
        <v>19.054054054054053</v>
      </c>
      <c r="F37" s="12">
        <f t="shared" si="3"/>
        <v>4.2702702702702702</v>
      </c>
      <c r="G37" s="1">
        <f t="shared" si="4"/>
        <v>214</v>
      </c>
      <c r="H37" s="12">
        <f t="shared" si="5"/>
        <v>5.7837837837837842</v>
      </c>
    </row>
    <row r="44" spans="1:8" ht="55.5" x14ac:dyDescent="0.35">
      <c r="A44" s="9" t="s">
        <v>452</v>
      </c>
      <c r="B44" s="9" t="s">
        <v>454</v>
      </c>
      <c r="C44" s="9" t="s">
        <v>453</v>
      </c>
      <c r="D44" s="9" t="s">
        <v>539</v>
      </c>
      <c r="E44" s="9" t="s">
        <v>540</v>
      </c>
      <c r="F44" s="9" t="s">
        <v>541</v>
      </c>
      <c r="G44" s="9" t="s">
        <v>542</v>
      </c>
      <c r="H44" s="9" t="s">
        <v>543</v>
      </c>
    </row>
    <row r="45" spans="1:8" x14ac:dyDescent="0.35">
      <c r="A45" s="1">
        <v>1</v>
      </c>
      <c r="B45" s="1" t="s">
        <v>12</v>
      </c>
      <c r="C45" s="1">
        <v>2023</v>
      </c>
      <c r="D45" s="12">
        <f>D22/MAX(D22:D37)</f>
        <v>0.12053571428571429</v>
      </c>
      <c r="E45" s="12">
        <f>J2/MAX(J2:J17)</f>
        <v>0.27777777777777779</v>
      </c>
      <c r="F45" s="12">
        <f>E22/MAX(E22:E37)</f>
        <v>0.26931993817619782</v>
      </c>
      <c r="G45" s="12">
        <f>F22/MAX(F22:F37)</f>
        <v>0.46153846153846156</v>
      </c>
      <c r="H45" s="12">
        <f>H22/MAX(H22:H37)</f>
        <v>0.2532588454376164</v>
      </c>
    </row>
    <row r="46" spans="1:8" x14ac:dyDescent="0.35">
      <c r="A46" s="1">
        <f>A45+1</f>
        <v>2</v>
      </c>
      <c r="B46" s="1" t="s">
        <v>12</v>
      </c>
      <c r="C46" s="1">
        <v>2024</v>
      </c>
      <c r="D46" s="12">
        <f>D23/MAX(D22:D37)</f>
        <v>0.27120535714285715</v>
      </c>
      <c r="E46" s="12">
        <f>J3/MAX(J2:J17)</f>
        <v>0.33333333333333331</v>
      </c>
      <c r="F46" s="12">
        <f>E23/MAX(E22:E37)</f>
        <v>0.37606259659969082</v>
      </c>
      <c r="G46" s="12">
        <f>F23/MAX(F22:F37)</f>
        <v>0.71153846153846156</v>
      </c>
      <c r="H46" s="12">
        <f>H23/MAX(H22:H37)</f>
        <v>0.43924581005586594</v>
      </c>
    </row>
    <row r="47" spans="1:8" x14ac:dyDescent="0.35">
      <c r="A47" s="1">
        <f t="shared" ref="A47:A60" si="8">A46+1</f>
        <v>3</v>
      </c>
      <c r="B47" s="1" t="s">
        <v>352</v>
      </c>
      <c r="C47" s="1">
        <v>2023</v>
      </c>
      <c r="D47" s="12">
        <f>D24/MAX(D22:D37)</f>
        <v>0.7332589285714286</v>
      </c>
      <c r="E47" s="12">
        <f>J4/MAX(J2:J17)</f>
        <v>0.27777777777777779</v>
      </c>
      <c r="F47" s="12">
        <f>E24/MAX(E22:E37)</f>
        <v>0.3131117980422462</v>
      </c>
      <c r="G47" s="16">
        <f>F24/MAX(F22:F37)</f>
        <v>1</v>
      </c>
      <c r="H47" s="12">
        <f>H24/MAX(H22:H37)</f>
        <v>0.40363128491620109</v>
      </c>
    </row>
    <row r="48" spans="1:8" x14ac:dyDescent="0.35">
      <c r="A48" s="1">
        <f t="shared" si="8"/>
        <v>4</v>
      </c>
      <c r="B48" s="1" t="s">
        <v>352</v>
      </c>
      <c r="C48" s="1">
        <v>2024</v>
      </c>
      <c r="D48" s="12">
        <f>D25/MAX(D22:D37)</f>
        <v>0.37452168367346944</v>
      </c>
      <c r="E48" s="12">
        <f>J5/MAX(J2:J17)</f>
        <v>0.72222222222222221</v>
      </c>
      <c r="F48" s="12">
        <f>E25/MAX(E22:E37)</f>
        <v>0.36597482888054755</v>
      </c>
      <c r="G48" s="12">
        <f>F25/MAX(F22:F37)</f>
        <v>0.52197802197802201</v>
      </c>
      <c r="H48" s="12">
        <f>H25/MAX(H22:H37)</f>
        <v>0.41550279329608941</v>
      </c>
    </row>
    <row r="49" spans="1:8" x14ac:dyDescent="0.35">
      <c r="A49" s="1">
        <f t="shared" si="8"/>
        <v>5</v>
      </c>
      <c r="B49" s="1" t="s">
        <v>47</v>
      </c>
      <c r="C49" s="1">
        <v>2023</v>
      </c>
      <c r="D49" s="12">
        <f>D26/MAX(D22:D37)</f>
        <v>4.0178571428571432E-2</v>
      </c>
      <c r="E49" s="12">
        <f>J6/MAX(J2:J17)</f>
        <v>0.27777777777777779</v>
      </c>
      <c r="F49" s="12">
        <f>E26/MAX(E22:E37)</f>
        <v>0.52769191138588345</v>
      </c>
      <c r="G49" s="12">
        <f>F26/MAX(F22:F37)</f>
        <v>0.48717948717948717</v>
      </c>
      <c r="H49" s="12">
        <f>H26/MAX(H22:H37)</f>
        <v>0.22951582867783984</v>
      </c>
    </row>
    <row r="50" spans="1:8" x14ac:dyDescent="0.35">
      <c r="A50" s="1">
        <f t="shared" si="8"/>
        <v>6</v>
      </c>
      <c r="B50" s="1" t="s">
        <v>470</v>
      </c>
      <c r="C50" s="1">
        <v>2023</v>
      </c>
      <c r="D50" s="12">
        <f>D27/MAX(D22:D37)</f>
        <v>3.2577220077220082E-3</v>
      </c>
      <c r="E50" s="16">
        <f>J7/MAX(J2:J17)</f>
        <v>1</v>
      </c>
      <c r="F50" s="12">
        <f>E27/MAX(E22:E37)</f>
        <v>0.35861982538953169</v>
      </c>
      <c r="G50" s="12">
        <f>F27/MAX(F22:F37)</f>
        <v>0.56964656964656968</v>
      </c>
      <c r="H50" s="12">
        <f>H27/MAX(H22:H37)</f>
        <v>0.4260908953646384</v>
      </c>
    </row>
    <row r="51" spans="1:8" x14ac:dyDescent="0.35">
      <c r="A51" s="1">
        <f t="shared" si="8"/>
        <v>7</v>
      </c>
      <c r="B51" s="1" t="s">
        <v>470</v>
      </c>
      <c r="C51" s="1">
        <v>2024</v>
      </c>
      <c r="D51" s="12">
        <f>D28/MAX(D22:D37)</f>
        <v>1.2053571428571429E-2</v>
      </c>
      <c r="E51" s="12">
        <f>J8/MAX(J2:J17)</f>
        <v>0.55555555555555558</v>
      </c>
      <c r="F51" s="12">
        <f>E28/MAX(E22:E37)</f>
        <v>0.49857032457496137</v>
      </c>
      <c r="G51" s="12">
        <f>F28/MAX(F22:F37)</f>
        <v>0.67692307692307696</v>
      </c>
      <c r="H51" s="12">
        <f>H28/MAX(H22:H37)</f>
        <v>0.6695530726256983</v>
      </c>
    </row>
    <row r="52" spans="1:8" x14ac:dyDescent="0.35">
      <c r="A52" s="1">
        <f t="shared" si="8"/>
        <v>8</v>
      </c>
      <c r="B52" s="1" t="s">
        <v>95</v>
      </c>
      <c r="C52" s="1">
        <v>2023</v>
      </c>
      <c r="D52" s="12">
        <f>D29/MAX(D22:D37)</f>
        <v>4.0178571428571432E-2</v>
      </c>
      <c r="E52" s="12">
        <f>J9/MAX(J2:J17)</f>
        <v>0.1111111111111111</v>
      </c>
      <c r="F52" s="12">
        <f>E29/MAX(E22:E37)</f>
        <v>0.35909325090159705</v>
      </c>
      <c r="G52" s="12">
        <f>F29/MAX(F22:F37)</f>
        <v>0.69230769230769229</v>
      </c>
      <c r="H52" s="12">
        <f>H29/MAX(H22:H37)</f>
        <v>0.30865921787709499</v>
      </c>
    </row>
    <row r="53" spans="1:8" x14ac:dyDescent="0.35">
      <c r="A53" s="1">
        <f t="shared" si="8"/>
        <v>9</v>
      </c>
      <c r="B53" s="1" t="s">
        <v>95</v>
      </c>
      <c r="C53" s="1">
        <v>2024</v>
      </c>
      <c r="D53" s="12">
        <f>D30/MAX(D22:D37)</f>
        <v>2.6785714285714284E-2</v>
      </c>
      <c r="E53" s="12">
        <f>J10/MAX(J2:J17)</f>
        <v>0.27777777777777779</v>
      </c>
      <c r="F53" s="12">
        <f>E30/MAX(E22:E37)</f>
        <v>0.31968057702215347</v>
      </c>
      <c r="G53" s="12">
        <f>F30/MAX(F22:F37)</f>
        <v>0.80341880341880345</v>
      </c>
      <c r="H53" s="12">
        <f>H30/MAX(H22:H37)</f>
        <v>0.37461204220980759</v>
      </c>
    </row>
    <row r="54" spans="1:8" x14ac:dyDescent="0.35">
      <c r="A54" s="1">
        <f t="shared" si="8"/>
        <v>10</v>
      </c>
      <c r="B54" s="1" t="s">
        <v>82</v>
      </c>
      <c r="C54" s="1">
        <v>2023</v>
      </c>
      <c r="D54" s="12">
        <f>D31/MAX(D22:D37)</f>
        <v>0.22299107142857144</v>
      </c>
      <c r="E54" s="12">
        <f>J11/MAX(J2:J17)</f>
        <v>0.16666666666666666</v>
      </c>
      <c r="F54" s="12">
        <f>E31/MAX(E22:E37)</f>
        <v>0.3639103554868624</v>
      </c>
      <c r="G54" s="12">
        <f>F31/MAX(F22:F37)</f>
        <v>0.49230769230769234</v>
      </c>
      <c r="H54" s="12">
        <f>H31/MAX(H22:H37)</f>
        <v>0.3276536312849162</v>
      </c>
    </row>
    <row r="55" spans="1:8" x14ac:dyDescent="0.35">
      <c r="A55" s="1">
        <f t="shared" si="8"/>
        <v>11</v>
      </c>
      <c r="B55" s="1" t="s">
        <v>64</v>
      </c>
      <c r="C55" s="1">
        <v>2023</v>
      </c>
      <c r="D55" s="12">
        <f>D32/MAX(D22:D37)</f>
        <v>0.11049107142857142</v>
      </c>
      <c r="E55" s="12">
        <f>J12/MAX(J2:J17)</f>
        <v>0.22222222222222221</v>
      </c>
      <c r="F55" s="12">
        <f>E32/MAX(E22:E37)</f>
        <v>0.44010819165378667</v>
      </c>
      <c r="G55" s="12">
        <f>F32/MAX(F22:F37)</f>
        <v>0.69230769230769229</v>
      </c>
      <c r="H55" s="12">
        <f>H32/MAX(H22:H37)</f>
        <v>0.49860335195530725</v>
      </c>
    </row>
    <row r="56" spans="1:8" x14ac:dyDescent="0.35">
      <c r="A56" s="1">
        <f t="shared" si="8"/>
        <v>12</v>
      </c>
      <c r="B56" s="1" t="s">
        <v>31</v>
      </c>
      <c r="C56" s="1">
        <v>2023</v>
      </c>
      <c r="D56" s="12">
        <f>D33/MAX(D22:D37)</f>
        <v>5.0223214285714288E-2</v>
      </c>
      <c r="E56" s="12">
        <f>J13/MAX(J2:J17)</f>
        <v>0.27777777777777779</v>
      </c>
      <c r="F56" s="12">
        <f>E33/MAX(E22:E37)</f>
        <v>0.44229778464708908</v>
      </c>
      <c r="G56" s="12">
        <f>F33/MAX(F22:F37)</f>
        <v>0.4358974358974359</v>
      </c>
      <c r="H56" s="12">
        <f>H33/MAX(H22:H37)</f>
        <v>0.31657355679702048</v>
      </c>
    </row>
    <row r="57" spans="1:8" x14ac:dyDescent="0.35">
      <c r="A57" s="1">
        <f t="shared" si="8"/>
        <v>13</v>
      </c>
      <c r="B57" s="1" t="s">
        <v>148</v>
      </c>
      <c r="C57" s="1">
        <v>2023</v>
      </c>
      <c r="D57" s="16">
        <f>D34/MAX(D22:D37)</f>
        <v>1</v>
      </c>
      <c r="E57" s="12">
        <f>J14/MAX(J2:J17)</f>
        <v>0.33333333333333331</v>
      </c>
      <c r="F57" s="12">
        <f>E34/MAX(E22:E37)</f>
        <v>0.98288396588242011</v>
      </c>
      <c r="G57" s="12">
        <f>F34/MAX(F22:F37)</f>
        <v>0.79202279202279202</v>
      </c>
      <c r="H57" s="12">
        <f>H34/MAX(H22:H37)</f>
        <v>0.94092696048003299</v>
      </c>
    </row>
    <row r="58" spans="1:8" x14ac:dyDescent="0.35">
      <c r="A58" s="1">
        <f t="shared" si="8"/>
        <v>14</v>
      </c>
      <c r="B58" s="1" t="s">
        <v>148</v>
      </c>
      <c r="C58" s="1">
        <v>2024</v>
      </c>
      <c r="D58" s="12">
        <f>D35/MAX(D22:D37)</f>
        <v>0.71080619747899165</v>
      </c>
      <c r="E58" s="12">
        <f>J15/MAX(J2:J17)</f>
        <v>0.44444444444444442</v>
      </c>
      <c r="F58" s="10">
        <f>E35/MAX(E22:E37)</f>
        <v>1</v>
      </c>
      <c r="G58" s="11">
        <f>F35/MAX(F22:F37)</f>
        <v>0.90950226244343901</v>
      </c>
      <c r="H58" s="16">
        <f>H35/MAX(H22:H37)</f>
        <v>1</v>
      </c>
    </row>
    <row r="59" spans="1:8" x14ac:dyDescent="0.35">
      <c r="A59" s="1">
        <f t="shared" si="8"/>
        <v>15</v>
      </c>
      <c r="B59" s="1" t="s">
        <v>117</v>
      </c>
      <c r="C59" s="1">
        <v>2023</v>
      </c>
      <c r="D59" s="12">
        <f>D36/MAX(D22:D37)</f>
        <v>0.12053571428571429</v>
      </c>
      <c r="E59" s="12">
        <f>J16/MAX(J2:J17)</f>
        <v>0.27777777777777779</v>
      </c>
      <c r="F59" s="12">
        <f>E36/MAX(E22:E37)</f>
        <v>0.33719732096857291</v>
      </c>
      <c r="G59" s="12">
        <f>F36/MAX(F22:F37)</f>
        <v>0.82051282051282048</v>
      </c>
      <c r="H59" s="12">
        <f>H36/MAX(H22:H37)</f>
        <v>0.56191806331471139</v>
      </c>
    </row>
    <row r="60" spans="1:8" x14ac:dyDescent="0.35">
      <c r="A60" s="1">
        <f t="shared" si="8"/>
        <v>16</v>
      </c>
      <c r="B60" s="1" t="s">
        <v>117</v>
      </c>
      <c r="C60" s="1">
        <v>2024</v>
      </c>
      <c r="D60" s="12">
        <f>D37/MAX(D22:D37)</f>
        <v>0.18731901544401544</v>
      </c>
      <c r="E60" s="12">
        <f>J17/MAX(J2:J17)</f>
        <v>0.72222222222222221</v>
      </c>
      <c r="F60" s="12">
        <f>E37/MAX(E22:E37)</f>
        <v>0.25032373950457409</v>
      </c>
      <c r="G60" s="12">
        <f>F37/MAX(F22:F37)</f>
        <v>0.656964656964657</v>
      </c>
      <c r="H60" s="12">
        <f>H37/MAX(H22:H37)</f>
        <v>0.27464895062660427</v>
      </c>
    </row>
  </sheetData>
  <mergeCells count="1"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total_consolidated_data</vt:lpstr>
      <vt:lpstr>statistical_evaluation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Pydi Sai Charan Polubothu</dc:creator>
  <cp:lastModifiedBy>Pydi Sai Charan Polubothu</cp:lastModifiedBy>
  <dcterms:created xsi:type="dcterms:W3CDTF">2015-06-05T18:19:34Z</dcterms:created>
  <dcterms:modified xsi:type="dcterms:W3CDTF">2026-06-20T22:42:31Z</dcterms:modified>
</cp:coreProperties>
</file>